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ichaelCamilleri\Downloads\"/>
    </mc:Choice>
  </mc:AlternateContent>
  <xr:revisionPtr revIDLastSave="95" documentId="13_ncr:1_{8CDBA6B2-A7D7-42E4-8B26-C427C3DBEF8C}" xr6:coauthVersionLast="47" xr6:coauthVersionMax="47" xr10:uidLastSave="{FB57929E-64DA-4421-BFB4-EC47FC9C0F7C}"/>
  <bookViews>
    <workbookView xWindow="-108" yWindow="-108" windowWidth="23256" windowHeight="12456" firstSheet="2" activeTab="2" xr2:uid="{080FCFD7-E308-408C-BE8B-98AE63D705D4}"/>
  </bookViews>
  <sheets>
    <sheet name="Directions" sheetId="3" r:id="rId1"/>
    <sheet name="TABLES" sheetId="2" r:id="rId2"/>
    <sheet name="DATA" sheetId="1" r:id="rId3"/>
    <sheet name="LISTS" sheetId="4" r:id="rId4"/>
    <sheet name="Corrections" sheetId="5" r:id="rId5"/>
    <sheet name="Sheet1" sheetId="6" state="hidden" r:id="rId6"/>
  </sheets>
  <externalReferences>
    <externalReference r:id="rId7"/>
  </externalReferences>
  <definedNames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DATA!$U$36</definedName>
    <definedName name="_ASSe">DATA!$J$36</definedName>
    <definedName name="_AstName">DATA!$K$7</definedName>
    <definedName name="_AstNum">DATA!$E$7</definedName>
    <definedName name="_AstVisible">DATA!$AA$22</definedName>
    <definedName name="_CAHr">DATA!$F$34</definedName>
    <definedName name="_CamDelApplied">DATA!$AC$26</definedName>
    <definedName name="_CamFormat">DATA!$L$25</definedName>
    <definedName name="_CAMi">DATA!$H$34</definedName>
    <definedName name="_CamIDelay">DATA!$V$26</definedName>
    <definedName name="_CamOther">DATA!$V$25</definedName>
    <definedName name="_CamType">DATA!$E$25</definedName>
    <definedName name="_CamUnit">DATA!$S$25</definedName>
    <definedName name="_CamX">DATA!$P$25</definedName>
    <definedName name="_CARem">DATA!$U$34</definedName>
    <definedName name="_CASe">DATA!$J$34</definedName>
    <definedName name="_City">DATA!$D$13</definedName>
    <definedName name="_Cloud">DATA!$H$27</definedName>
    <definedName name="_DAcc">DATA!$M$33</definedName>
    <definedName name="_Datum">DATA!$AA$18</definedName>
    <definedName name="_Day">DATA!$P$5</definedName>
    <definedName name="_DHr">DATA!$F$33</definedName>
    <definedName name="_DMi">DATA!$H$33</definedName>
    <definedName name="_DPE">DATA!$O$33</definedName>
    <definedName name="_DPEApp">DATA!$P$33</definedName>
    <definedName name="_DRem">DATA!$U$33</definedName>
    <definedName name="_DSe">DATA!$J$33</definedName>
    <definedName name="_EOHr">DATA!$F$37</definedName>
    <definedName name="_EOMi">DATA!$H$37</definedName>
    <definedName name="_EORem">DATA!$U$37</definedName>
    <definedName name="_EorW">DATA!$R$18</definedName>
    <definedName name="_EOSe">DATA!$J$37</definedName>
    <definedName name="_Exposure">DATA!$P$26</definedName>
    <definedName name="_Fax">DATA!$S$13</definedName>
    <definedName name="_xlnm._FilterDatabase" localSheetId="2" hidden="1">DATA!$P$9:$AD$9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DATA!$M$35</definedName>
    <definedName name="_Remark1">DATA!$D$42</definedName>
    <definedName name="_Remark2">DATA!$D$43</definedName>
    <definedName name="_Remark3">DATA!$D$44</definedName>
    <definedName name="_RHr">DATA!$F$35</definedName>
    <definedName name="_RMi">DATA!$H$35</definedName>
    <definedName name="_RPE">DATA!$O$35</definedName>
    <definedName name="_RPEApp">DATA!$P$35</definedName>
    <definedName name="_RRem">DATA!$U$35</definedName>
    <definedName name="_RSe">DATA!$J$35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DATA!$U$32</definedName>
    <definedName name="_SMSe">DATA!$J$32</definedName>
    <definedName name="_SNR">DATA!$W$40</definedName>
    <definedName name="_SOHr">DATA!$F$31</definedName>
    <definedName name="_SOMi">DATA!$H$31</definedName>
    <definedName name="_SORem">DATA!$U$31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DATA!$C$22</definedName>
    <definedName name="_Version">DATA!$Z$2</definedName>
    <definedName name="_VTI_Type">DATA!$E$23</definedName>
    <definedName name="_Year">DATA!$D$5</definedName>
    <definedName name="Altitude">TABLES!$G$9:$G$10</definedName>
    <definedName name="Clouds">TABLES!$F$37:$F$44</definedName>
    <definedName name="Conditions">TABLES!$F$26:$F$29</definedName>
    <definedName name="Datum">TABLES!$F$1:$F$7</definedName>
    <definedName name="DegMinSec">TABLES!$F$33:$F$35</definedName>
    <definedName name="DegMinSecs">TABLES!$F$33</definedName>
    <definedName name="Degrees">TABLES!$F$33</definedName>
    <definedName name="Detector">TABLES!$B$60:$B$83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TABLES!$A$29:$A$40</definedName>
    <definedName name="OTA">TABLES!$A$60:$A$64</definedName>
    <definedName name="PE_2">TABLES!$A$42:$A$49</definedName>
    <definedName name="_xlnm.Print_Area" localSheetId="2">DATA!$A$1:$AC$46</definedName>
    <definedName name="Results">TABLES!$A$11:$A$13</definedName>
    <definedName name="RIO">DATA!$P$8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TABLES!$A$51:$A$57</definedName>
    <definedName name="Telescopes">TABLES!$A$11:$A$15</definedName>
    <definedName name="Timer">LISTS!$K$6:$N$16</definedName>
    <definedName name="Timer2">TABLES!$B$85:$B$95</definedName>
    <definedName name="Timers">LISTS!$K$6:$N$16</definedName>
    <definedName name="TimeSource">TABLES!$I$9:$I$14</definedName>
    <definedName name="Timing">TABLES!$A$19:$A$26</definedName>
    <definedName name="Units">TABLES!$F$60:$F$63</definedName>
    <definedName name="Weight">TABLES!$B$41:$B$49</definedName>
    <definedName name="Year">TABLES!$C$27:$C$32</definedName>
    <definedName name="YesNo">TABLES!$C$17:$C$18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" i="1" l="1"/>
  <c r="E24" i="5"/>
  <c r="F24" i="5"/>
  <c r="E25" i="5"/>
  <c r="E26" i="5"/>
  <c r="E27" i="5"/>
  <c r="E28" i="5"/>
  <c r="E29" i="5"/>
  <c r="E30" i="5"/>
  <c r="F38" i="5"/>
  <c r="V23" i="1"/>
  <c r="C27" i="2"/>
  <c r="C28" i="2"/>
  <c r="C29" i="2"/>
  <c r="C30" i="2"/>
  <c r="C31" i="2"/>
  <c r="C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BradWTimerson</author>
  </authors>
  <commentList>
    <comment ref="P25" authorId="0" shapeId="0" xr:uid="{C6EC7F70-A9E7-444C-9057-A18B8DF32337}">
      <text>
        <r>
          <rPr>
            <sz val="9"/>
            <color indexed="81"/>
            <rFont val="Tahoma"/>
            <family val="2"/>
          </rPr>
          <t>Enter Free form similar to this list this List and units in next cell:
Automatic
NA
 120N          120N+       Others
  Off           High 1-5      None
Frame 1       Slow 1         2x
Frame 2       Slow 2         4x
Frame 4       Slow 3         6x
Frame 8       Slow 4         8x
Frame 16     Slow 5        10x
Frame 32     Slow 6        12x
Frame 64     Slow 7        14x
Frame 128   Slow 8        16x
Frame 256   Slow 9        32x
                                       64x
                                      128x
                                      256x
                                      512x</t>
        </r>
      </text>
    </comment>
    <comment ref="V25" authorId="0" shapeId="0" xr:uid="{8AFBF390-8B23-4955-B569-2A60503C874D}">
      <text>
        <r>
          <rPr>
            <sz val="9"/>
            <color indexed="81"/>
            <rFont val="Tahoma"/>
            <family val="2"/>
          </rPr>
          <t xml:space="preserve">Additional information:
filters, recorder compression, etc.
</t>
        </r>
      </text>
    </comment>
    <comment ref="P26" authorId="0" shapeId="0" xr:uid="{FDD7F4AF-F752-471C-94A1-A26777A683E2}">
      <text>
        <r>
          <rPr>
            <sz val="9"/>
            <color indexed="81"/>
            <rFont val="Tahoma"/>
            <family val="2"/>
          </rPr>
          <t>Enter exposure correction time based on integration selected.  Go to Corrections page for values.</t>
        </r>
      </text>
    </comment>
    <comment ref="V26" authorId="0" shapeId="0" xr:uid="{9F2EA3A9-9A01-4EE5-A291-3839A86D3930}">
      <text>
        <r>
          <rPr>
            <sz val="9"/>
            <color indexed="81"/>
            <rFont val="Tahoma"/>
            <family val="2"/>
          </rPr>
          <t>Enter VTI correction based on VTI used and analysis method. Table of corrections is on the Corrections page.</t>
        </r>
      </text>
    </comment>
  </commentList>
</comments>
</file>

<file path=xl/sharedStrings.xml><?xml version="1.0" encoding="utf-8"?>
<sst xmlns="http://schemas.openxmlformats.org/spreadsheetml/2006/main" count="658" uniqueCount="506">
  <si>
    <t>Directions for Use of Asteroid Occultation Reporting Form</t>
  </si>
  <si>
    <t>An attempt is being made to encourage observers of asteroid occultations to report their observations in a way that is</t>
  </si>
  <si>
    <t>best suited to using the OCCULT program for analysis.  To that end, this Form has been created using Excel.  This</t>
  </si>
  <si>
    <t>document should also work with the spreadsheet component of Open Office as well as on Macs.</t>
  </si>
  <si>
    <t>Google Docs is another option if you don’t have Excel</t>
  </si>
  <si>
    <t>On this form, GRAY cells contain information that needs to be filled in by the observer.  Some of the information in the</t>
  </si>
  <si>
    <t xml:space="preserve">Light GRAY cells are in the form of pull-down menus.  </t>
  </si>
  <si>
    <t xml:space="preserve">Dark GRAY cells are in the form of required numeric or Free form text data.  </t>
  </si>
  <si>
    <t>YELLOW cells are optional.  You may fill these in as you see fit.</t>
  </si>
  <si>
    <t>You may move through the form one entry after another by using the TAB key.  You may also select any cell using the</t>
  </si>
  <si>
    <t>mouse and clicking on that cell.</t>
  </si>
  <si>
    <t>The Light GRAY cells have a pull-down menu.  This is done to force match the  OCCULT analysis program being used.</t>
  </si>
  <si>
    <t xml:space="preserve">When you are on a Light GRAY cell, a down arrow to the right of the cell will indicate the presence of a pull-down menu.  </t>
  </si>
  <si>
    <t>Click on the down-arrow to see the choices.  Scroll to the best fit choice and release.  Only the choices shown in each</t>
  </si>
  <si>
    <t>pull-down menu for that particular item are available for use.  Some choices are already present as default values.</t>
  </si>
  <si>
    <t>First, use the pull-down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</si>
  <si>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</si>
  <si>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</si>
  <si>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</si>
  <si>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</si>
  <si>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but they tend to be rather big.</t>
  </si>
  <si>
    <t>Fill-in the Year, Month, Day, and Predicted Time of the event.  Note that Year and Month have pull-down menus.</t>
  </si>
  <si>
    <t>Please be sure to record all times in UTC using the format shown.  For example:  00:07:30     12:12:00.567</t>
  </si>
  <si>
    <t>Fill-in the Asteroid Number and Name.  There are separate cells for these two items.</t>
  </si>
  <si>
    <t>Choose the Star Catalog from the pull-down menu and then enter the appropriate Star Number in the cell to the right.</t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</si>
  <si>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</si>
  <si>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</si>
  <si>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</si>
  <si>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</si>
  <si>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</si>
  <si>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</si>
  <si>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</si>
  <si>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</si>
  <si>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</si>
  <si>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</si>
  <si>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pull-down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</si>
  <si>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</si>
  <si>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</si>
  <si>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</si>
  <si>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pull-down menu.</t>
  </si>
  <si>
    <t>Enter Longitude in a similar manner.  Choose E or W from the pull-down menu.</t>
  </si>
  <si>
    <t>Enter a numerical value for your Elevation and choose m (meters) or ft (feet) from the pull-down menu.</t>
  </si>
  <si>
    <t>From the pull-down menu, choose the appropriate Datum. Note GPS and Google Earth use the WGS84 Datum.</t>
  </si>
  <si>
    <t>Telescope:  Enter a numerical value for the Aperture and then choose a Unit from the pull-down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</si>
  <si>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</si>
  <si>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</si>
  <si>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pull-down menu, choose the nearest Type of telescope being used.</t>
  </si>
  <si>
    <t>Timing:  Select from the pull-down menu the best description of your Timing and Recording technique.</t>
  </si>
  <si>
    <t>Changed row 25</t>
  </si>
  <si>
    <t>The fields in Row 25 are now free form - the exploding number of  models of camera  has just become too big to spport them all.</t>
  </si>
  <si>
    <t>Selecting the cell now pops up a prompt to help you with what is expected.</t>
  </si>
  <si>
    <t>Detector: For Visual Obserations just enter   Visual</t>
  </si>
  <si>
    <t>For Video Please Enter some thing like:</t>
  </si>
  <si>
    <t xml:space="preserve">Photometer, Flea3-03S1 with ADVS, Flea3-03S3 with ADVS, 
Flea3-28S4M with ADVS, Grasshopper Express with ADVS, G-Star, WAT120N, WAT120N+, 
WAT910HX, WAT910BD, Mintron 12V1C-EX, Samsung SCB-2000, PC165-DNR , LN-300-11673, Other integrating 
KPC-350BH, PC164C, WAT902H, etc
</t>
  </si>
  <si>
    <t xml:space="preserve">For CCD Enter CCD model XYZ </t>
  </si>
  <si>
    <t>The Fields for Video format, Exposure Mode , Unit, and Other are also free form. Fill in as required.</t>
  </si>
  <si>
    <t>These fields should help us resolve some anomalies that can result from some eqipment.</t>
  </si>
  <si>
    <t>See http://www.dangl.at/ausruest/vid_tim/vid_tim1.htm for a detailed discussion of time correction issues.</t>
  </si>
  <si>
    <t>Or      http://www.asteroidoccultation.com/observations/NA/Analysis%20of%20Camera%20Delay%20Corrections.pdf   for more info</t>
  </si>
  <si>
    <t>Process if using a video camera:</t>
  </si>
  <si>
    <t>Note your camera model in cell E25</t>
  </si>
  <si>
    <t>Note your format (PAL/CCIR or NTSC/EIA) in cell L25</t>
  </si>
  <si>
    <t xml:space="preserve">Note the exposure (Integration multiplier) in cell P25. </t>
  </si>
  <si>
    <t xml:space="preserve">Note your unit of exposure (Frames, Fields or Seconds) in cell S25 </t>
  </si>
  <si>
    <t>Non Inegrating cameras</t>
  </si>
  <si>
    <t xml:space="preserve">For your D and R times note the midpoint time displayed by your OSD/VTI in the First frame of the group where your event occurs.  </t>
  </si>
  <si>
    <t>ie The one that is not blurred in the milliseconds part.</t>
  </si>
  <si>
    <t>Inegrating cameras</t>
  </si>
  <si>
    <t>The groups are easiest to identify if you save a CSV file from Limovie or Tangra analysis.</t>
  </si>
  <si>
    <t xml:space="preserve">Make use of one of the Occultation Timing Applications (OTAs)  </t>
  </si>
  <si>
    <t>Either AOTA which is part of Occult 4</t>
  </si>
  <si>
    <t xml:space="preserve">Or Occular or it successor  R-OTE which can be downloaded from http://www.asteroidoccultation.com/observations/NA/ </t>
  </si>
  <si>
    <t>Enter these times in the D and R time spaces on rows  33 and 35.</t>
  </si>
  <si>
    <t>In general there will be a group that has a level somewhere between the Unocculted and the Occulted (bottom) levels.</t>
  </si>
  <si>
    <t>The exact position of the event within that group is not always obvious and we need to correct to the midpoint time of the group.</t>
  </si>
  <si>
    <t>AOTA and ROTE both use the Integration sample size and display the corrected times and error estimates</t>
  </si>
  <si>
    <t>So Enter the error value shown in V25 in the Accuracy space of  rows 33 and 35</t>
  </si>
  <si>
    <t>Also select the Camera Delay by AOTA option in the next column  OR enter the Corrected value for the time and select Camera Delay Applied</t>
  </si>
  <si>
    <t>Please include a copy of the CSV and Occular analysis with your report.</t>
  </si>
  <si>
    <t>You may also be able to do manual interpolation in some cases - in that case please show your working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</si>
  <si>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</si>
  <si>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</si>
  <si>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</si>
  <si>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</si>
  <si>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</si>
  <si>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Timing Method:  Select from the pull-down menu the best description of your Method of timing.</t>
  </si>
  <si>
    <t>eg Stop watch, WWV Radio time, Beeper Box, GPS, PC, NTP,
KIWI-OSD, IOTA-VTI, GPS-ABC, ADVS, Cell Phone.</t>
  </si>
  <si>
    <t>Asteroid Visible?:  If you wish, choose whether or not the asteroid was visible at any time during your observation.</t>
  </si>
  <si>
    <t>Conditions:  From the pull-down menus, describe your observing conditions.  You may add further details under</t>
  </si>
  <si>
    <t>Observations:  Enter the times as appropriate.  Any times that you did not measure or observe (star and asteroid</t>
  </si>
  <si>
    <t>merged, for example) should be left blank.  Notice that the D and R times are the only times read by OCCULT.  However,</t>
  </si>
  <si>
    <t>Observation Start and Observation End times may be important in the event of inaccurate predicted times and/or</t>
  </si>
  <si>
    <t>satellites.</t>
  </si>
  <si>
    <t>In the Accuracy column, type in a +/- estimate of the accuracy of the time given.  Example:  +/- 0.5 Use the OTA value if available.</t>
  </si>
  <si>
    <t>Under PE, record your Personal Equation for the event.  Example:  0.9 This really only applies to Visual observations.</t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</si>
  <si>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</si>
  <si>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</si>
  <si>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</si>
  <si>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</si>
  <si>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</si>
  <si>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</si>
  <si>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</si>
  <si>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</si>
  <si>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</si>
  <si>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0.5"/>
        <rFont val="Arial"/>
        <family val="2"/>
      </rPr>
      <t>S / N</t>
    </r>
    <r>
      <rPr>
        <sz val="14"/>
        <rFont val="Arial"/>
        <family val="2"/>
      </rPr>
      <t xml:space="preserve"> If you have information from AOTA or R-OTE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</si>
  <si>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</si>
  <si>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</si>
  <si>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</t>
  </si>
  <si>
    <t>Please use this format to name your file:  yyyymmdd_MPNumber_MPName_StarCat_StarName&lt;+/-&gt;YourLastName&lt;.xls</t>
  </si>
  <si>
    <t>&lt;+/-&gt;   = a positive (+) or negative (-) event (Note: Not &lt;+/_&gt;)</t>
  </si>
  <si>
    <t>For example:  20131003_25_Phocaea_HIP_115725+Timerson.xls     for a positive observation</t>
  </si>
  <si>
    <t>or:                 20131007_31_Euphrosyne_TYC_2979_00969_1-Timerson.xls           for a negative (miss) observation</t>
  </si>
  <si>
    <t xml:space="preserve">Example for a second component:   20131007_31_Euphrosyne_TYC_2979_00969_1-Timerson_Ev2.xls </t>
  </si>
  <si>
    <t xml:space="preserve">Example for a second location:   20131007_31_Euphrosyne_TYC_2979_00969_1-Timerson_St2.xls </t>
  </si>
  <si>
    <t>Email all reports, positive or negative, to:   reports@asteroidoccultation.com</t>
  </si>
  <si>
    <t>If you are providing other files as we request that ALL FILES associated with an event should be named</t>
  </si>
  <si>
    <t>using the same base naming standard and obviously a comment to describe the contents.</t>
  </si>
  <si>
    <t xml:space="preserve">Example for a second component lightcurve :   20131007_31_Euphrosyne_TYC_2979_00969_1-Timerson_Ev2_LC.gif </t>
  </si>
  <si>
    <t>For Mac users ONLY: We understand some of the above characters are not allowed in MAC filenames</t>
  </si>
  <si>
    <t>Please use as near as you can</t>
  </si>
  <si>
    <t>TYC       xxxx-xxxxx-x</t>
  </si>
  <si>
    <t>NAD1927</t>
  </si>
  <si>
    <t>HIP</t>
  </si>
  <si>
    <t>WGS84</t>
  </si>
  <si>
    <t>UCAC2        xxxxxxxx</t>
  </si>
  <si>
    <t>EP1950</t>
  </si>
  <si>
    <t>UCAC3     xxx - xxxxxx</t>
  </si>
  <si>
    <t>Tokyo</t>
  </si>
  <si>
    <t>UCAC4     xxx - xxxxxx</t>
  </si>
  <si>
    <t>GBSN80</t>
  </si>
  <si>
    <t>URAT1    xxx - xxxxxxx</t>
  </si>
  <si>
    <t>1B    xxx - xxxxxxx</t>
  </si>
  <si>
    <t>Other</t>
  </si>
  <si>
    <t>1N    xxx - xxxxxxx</t>
  </si>
  <si>
    <t>GAIA Jhhmmss.ss±ddmmss.s</t>
  </si>
  <si>
    <t>N</t>
  </si>
  <si>
    <t>E</t>
  </si>
  <si>
    <t>m</t>
  </si>
  <si>
    <t>in</t>
  </si>
  <si>
    <t>S</t>
  </si>
  <si>
    <t>W</t>
  </si>
  <si>
    <t>ft</t>
  </si>
  <si>
    <t>cm</t>
  </si>
  <si>
    <t>Positive</t>
  </si>
  <si>
    <t>Negative</t>
  </si>
  <si>
    <t>Unsure</t>
  </si>
  <si>
    <t>yes</t>
  </si>
  <si>
    <t>Visual, PE applied</t>
  </si>
  <si>
    <t>Good</t>
  </si>
  <si>
    <t>no</t>
  </si>
  <si>
    <t>Visual, standard PE applied</t>
  </si>
  <si>
    <t>Fair</t>
  </si>
  <si>
    <t>GPS - time inserted</t>
  </si>
  <si>
    <t>Visual, no PE applied</t>
  </si>
  <si>
    <t>Poor</t>
  </si>
  <si>
    <t>GPS - other linking</t>
  </si>
  <si>
    <t>Video with frame analysis</t>
  </si>
  <si>
    <t>Video + audio time signal</t>
  </si>
  <si>
    <t>Video, photo or photoelectric</t>
  </si>
  <si>
    <t>Tape Recorder + time signal</t>
  </si>
  <si>
    <t>Only duration timed</t>
  </si>
  <si>
    <t>Eye-Ear + time signal</t>
  </si>
  <si>
    <t>Drift scan</t>
  </si>
  <si>
    <t>Stopwatch</t>
  </si>
  <si>
    <t>Preliminary only</t>
  </si>
  <si>
    <t>Radio broadcast - calibrated</t>
  </si>
  <si>
    <t>other</t>
  </si>
  <si>
    <t>wind</t>
  </si>
  <si>
    <t>clouds</t>
  </si>
  <si>
    <t>lights</t>
  </si>
  <si>
    <t>January</t>
  </si>
  <si>
    <t>other - list in comments</t>
  </si>
  <si>
    <t>February</t>
  </si>
  <si>
    <t>March</t>
  </si>
  <si>
    <t>April</t>
  </si>
  <si>
    <t>May</t>
  </si>
  <si>
    <t>deg mm sec.ss</t>
  </si>
  <si>
    <t>June</t>
  </si>
  <si>
    <t>deg min.mmm</t>
  </si>
  <si>
    <t>July</t>
  </si>
  <si>
    <t>deg.ddddd</t>
  </si>
  <si>
    <t>August</t>
  </si>
  <si>
    <t>September</t>
  </si>
  <si>
    <t>Clear</t>
  </si>
  <si>
    <t>October</t>
  </si>
  <si>
    <t>Fog</t>
  </si>
  <si>
    <t>November</t>
  </si>
  <si>
    <t>maybe</t>
  </si>
  <si>
    <t>Thin cloud &lt; 2</t>
  </si>
  <si>
    <t>December</t>
  </si>
  <si>
    <t>Thick cloud &gt; 2</t>
  </si>
  <si>
    <t>Broken cloud</t>
  </si>
  <si>
    <t>PE applied by observer</t>
  </si>
  <si>
    <t>Star faint</t>
  </si>
  <si>
    <t>Camera Delay by AOTA applied ---&gt;</t>
  </si>
  <si>
    <t>Averted vision</t>
  </si>
  <si>
    <t>Camera Delay  by ROTE applied ---&gt;</t>
  </si>
  <si>
    <t>Camera Delay by Occular applied ---&gt;</t>
  </si>
  <si>
    <t>Standard PE applied, 1.0 sec</t>
  </si>
  <si>
    <t>No PE/Delay applied</t>
  </si>
  <si>
    <t>No Camera Delay Applied</t>
  </si>
  <si>
    <t>Steady</t>
  </si>
  <si>
    <t>NA</t>
  </si>
  <si>
    <t>Slight flickering</t>
  </si>
  <si>
    <t>check this table</t>
  </si>
  <si>
    <t>Strong flickering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</si>
  <si>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</si>
  <si>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</si>
  <si>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</si>
  <si>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</si>
  <si>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</si>
  <si>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</si>
  <si>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</si>
  <si>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</si>
  <si>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</si>
  <si>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>Manual</t>
  </si>
  <si>
    <t>Visual</t>
  </si>
  <si>
    <t>Frames</t>
  </si>
  <si>
    <t>AOTA (part of OCCULT4)</t>
  </si>
  <si>
    <t>Photometer</t>
  </si>
  <si>
    <t>Fields</t>
  </si>
  <si>
    <t>Occular</t>
  </si>
  <si>
    <t>PC165-DNR</t>
  </si>
  <si>
    <t>CCD Drift</t>
  </si>
  <si>
    <t>Seconds</t>
  </si>
  <si>
    <t>R-OTE</t>
  </si>
  <si>
    <t>PC164C</t>
  </si>
  <si>
    <t>ADVS</t>
  </si>
  <si>
    <t>Minutes</t>
  </si>
  <si>
    <t>Other - Specify in Comments</t>
  </si>
  <si>
    <t>PC164C-EX</t>
  </si>
  <si>
    <t>AAV-NTSC</t>
  </si>
  <si>
    <t>Watec 120N</t>
  </si>
  <si>
    <t>FITS</t>
  </si>
  <si>
    <t>Watec 120N+</t>
  </si>
  <si>
    <t>AAV-PAL</t>
  </si>
  <si>
    <t>Watec 910HX</t>
  </si>
  <si>
    <t>Watec 910BD</t>
  </si>
  <si>
    <t>Watec 902H</t>
  </si>
  <si>
    <t>Mintron 12v1C-EX</t>
  </si>
  <si>
    <t>Mallincam</t>
  </si>
  <si>
    <t>CCD</t>
  </si>
  <si>
    <t>Samsung SBC-2000</t>
  </si>
  <si>
    <t>KPC-350BH</t>
  </si>
  <si>
    <t>LN-300-11673</t>
  </si>
  <si>
    <t>Flea 3-03S1 with ADVS</t>
  </si>
  <si>
    <t>Flea 3-03S3 with ADVS</t>
  </si>
  <si>
    <t>Flea 3-28S4M with ADVS</t>
  </si>
  <si>
    <t>Grasshopper Express with ADVS</t>
  </si>
  <si>
    <t>G-Star</t>
  </si>
  <si>
    <t>QHY 174GPS</t>
  </si>
  <si>
    <t>Other - List in Comments</t>
  </si>
  <si>
    <t>WWV Radio Time</t>
  </si>
  <si>
    <t>Beeperbox</t>
  </si>
  <si>
    <t>GPS</t>
  </si>
  <si>
    <t>Computer NTP</t>
  </si>
  <si>
    <t>KIWI-OSD</t>
  </si>
  <si>
    <t>IOTA-VTI</t>
  </si>
  <si>
    <t>GPS-ABC</t>
  </si>
  <si>
    <t>Cellphone</t>
  </si>
  <si>
    <t>Observation was:</t>
  </si>
  <si>
    <t>Asteroid Occultation Report Form</t>
  </si>
  <si>
    <t>{{OBSERVATION_TYPE}}</t>
  </si>
  <si>
    <t>All times MUST be reported using UTC</t>
  </si>
  <si>
    <t>V4.1.2.G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</si>
  <si>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</si>
  <si>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</si>
  <si>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</si>
  <si>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</si>
  <si>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</si>
  <si>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</si>
  <si>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</si>
  <si>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</si>
  <si>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</si>
  <si>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</si>
  <si>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</si>
  <si>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</si>
  <si>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</si>
  <si>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</si>
  <si>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</si>
  <si>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</si>
  <si>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</si>
  <si>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</si>
  <si>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</si>
  <si>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</si>
  <si>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</si>
  <si>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</si>
  <si>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</si>
  <si>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</si>
  <si>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RIO-TNO Prediction ?</t>
  </si>
  <si>
    <t>{{RIO_TNO_PREDICTION}}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</si>
  <si>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</si>
  <si>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</si>
  <si>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</si>
  <si>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</si>
  <si>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</si>
  <si>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</si>
  <si>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</si>
  <si>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</si>
  <si>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</si>
  <si>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</si>
  <si>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</si>
  <si>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</si>
  <si>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</si>
  <si>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>{{OBSERVING_LOCATION}}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</si>
  <si>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</si>
  <si>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</si>
  <si>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</si>
  <si>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</si>
  <si>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</si>
  <si>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</si>
  <si>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</si>
  <si>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</si>
  <si>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</si>
  <si>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</si>
  <si>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</si>
  <si>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</si>
  <si>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</si>
  <si>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</si>
  <si>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</si>
  <si>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</si>
  <si>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</si>
  <si>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</si>
  <si>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</si>
  <si>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</si>
  <si>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</si>
  <si>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</si>
  <si>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</si>
  <si>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</si>
  <si>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</si>
  <si>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</si>
  <si>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</si>
  <si>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</si>
  <si>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</si>
  <si>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</si>
  <si>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</si>
  <si>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</si>
  <si>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visible?</t>
  </si>
  <si>
    <t>{{ASTEROID_VISIBLE}}</t>
  </si>
  <si>
    <t>Timing Device:</t>
  </si>
  <si>
    <t>{{TIMING_DEVICE}}</t>
  </si>
  <si>
    <t>OTA Used:</t>
  </si>
  <si>
    <t>{{OTE}}</t>
  </si>
  <si>
    <t>Some of the cells in row 25 are  free form.  Look at Comments provided.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</si>
  <si>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</si>
  <si>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</si>
  <si>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</si>
  <si>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</si>
  <si>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</si>
  <si>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</si>
  <si>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</si>
  <si>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</si>
  <si>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</si>
  <si>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</si>
  <si>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Unit:</t>
  </si>
  <si>
    <t>{{INTEGRATION_UNITS}}</t>
  </si>
  <si>
    <t>{{OTHER_DETECTOR_RELATED_INFO}}</t>
  </si>
  <si>
    <t>Camera Delay Correction:</t>
  </si>
  <si>
    <t>{{CAMERA_DELAY_CORRECTION}}</t>
  </si>
  <si>
    <t>VTI Correction:</t>
  </si>
  <si>
    <t>{{VTI_CORRECTION}}</t>
  </si>
  <si>
    <t>Sec</t>
  </si>
  <si>
    <t>Has this been Applied ?</t>
  </si>
  <si>
    <t>{{CORRECTIONS_APPLIED}}</t>
  </si>
  <si>
    <t>Conditions:</t>
  </si>
  <si>
    <t>Clouds:</t>
  </si>
  <si>
    <t>Stability:</t>
  </si>
  <si>
    <t>Other conditions:</t>
  </si>
  <si>
    <t>Observations:</t>
  </si>
  <si>
    <t>Apply Integrating camera delay corrections before entering times.  Go to CORRECTIONS page for R-OTE, Occular, and VTI correction values.</t>
  </si>
  <si>
    <t>Times</t>
  </si>
  <si>
    <t>Accuracy</t>
  </si>
  <si>
    <t>PE</t>
  </si>
  <si>
    <t>PE/Delay applied?</t>
  </si>
  <si>
    <t>Remarks (show integration corrections here)</t>
  </si>
  <si>
    <t>Started Observing:</t>
  </si>
  <si>
    <t>{{STARTED_OBSERVING_HOURS}}</t>
  </si>
  <si>
    <t>{{STARTED_OBSERVING_MINUTES}}</t>
  </si>
  <si>
    <t>{{STARTED_OBSERVING_SECONDS}}</t>
  </si>
  <si>
    <t>Star and asteroid merged:</t>
  </si>
  <si>
    <t>Disappearance:</t>
  </si>
  <si>
    <t>{{AOTA_D_HOURS}}</t>
  </si>
  <si>
    <t>{{AOTA_D_MINUTES}}</t>
  </si>
  <si>
    <t>{{AOTA_D_SECONDS}}</t>
  </si>
  <si>
    <t>{{AOTA_D_ERROR}}</t>
  </si>
  <si>
    <t>Est. Closest Approach:</t>
  </si>
  <si>
    <t>Reappearance:</t>
  </si>
  <si>
    <t>{{AOTA_R_HOURS}}</t>
  </si>
  <si>
    <t>{{AOTA_R_MINUTES}}</t>
  </si>
  <si>
    <t>{{AOTA_R_SECONDS}}</t>
  </si>
  <si>
    <t>{{AOTA_R_ERROR}}</t>
  </si>
  <si>
    <t>Star &amp; Asteroid separated:</t>
  </si>
  <si>
    <t>Stopped Observing:</t>
  </si>
  <si>
    <t>{{STOPPED_OBSERVING_HOURS}}</t>
  </si>
  <si>
    <t>{{STOPPED_OBSERVING_MINUTES}}</t>
  </si>
  <si>
    <t>{{STOPPED_OBSERVING_SECONDS}}</t>
  </si>
  <si>
    <t>hh</t>
  </si>
  <si>
    <t>ss.sss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</si>
  <si>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</si>
  <si>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</si>
  <si>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</si>
  <si>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</si>
  <si>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</si>
  <si>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</si>
  <si>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{{SNR}}</t>
  </si>
  <si>
    <t>(if known)</t>
  </si>
  <si>
    <t>visible?</t>
  </si>
  <si>
    <t>Additional</t>
  </si>
  <si>
    <t>{{COMMENTS}}</t>
  </si>
  <si>
    <t>Comments</t>
  </si>
  <si>
    <t>Email report to:  mpobservations@occultations.org.nz</t>
  </si>
  <si>
    <t>cc:  Director@occultations.org.nz&gt;</t>
  </si>
  <si>
    <t>If available please include a Tangra or Limovie CSV file of the light curve data.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</si>
  <si>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</si>
  <si>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</si>
  <si>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</si>
  <si>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</si>
  <si>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</si>
  <si>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</si>
  <si>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</si>
  <si>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</si>
  <si>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</si>
  <si>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</si>
  <si>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</si>
  <si>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</si>
  <si>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</si>
  <si>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</si>
  <si>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</si>
  <si>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Frame 2</t>
  </si>
  <si>
    <t>Frame 64</t>
  </si>
  <si>
    <t>On/4</t>
  </si>
  <si>
    <t>fps</t>
  </si>
  <si>
    <t>automatic</t>
  </si>
  <si>
    <t>Other/Not sure - Specify in Comments</t>
  </si>
  <si>
    <t>Occular and R-OTE Integrated Camera Delay Correction Tables</t>
  </si>
  <si>
    <t>WAT-120N and WAT-120N+</t>
  </si>
  <si>
    <t>Field Delay</t>
  </si>
  <si>
    <t>Time Correction</t>
  </si>
  <si>
    <t>Additonal VTI Corrections</t>
  </si>
  <si>
    <t>120N</t>
  </si>
  <si>
    <t>120N+</t>
  </si>
  <si>
    <t>CCIR</t>
  </si>
  <si>
    <t>EIA</t>
  </si>
  <si>
    <t>High 1-5</t>
  </si>
  <si>
    <t>KIWI + Occular</t>
  </si>
  <si>
    <t>none</t>
  </si>
  <si>
    <t>Frame 1</t>
  </si>
  <si>
    <t>KIWI + R-OTE</t>
  </si>
  <si>
    <t>Slow 2</t>
  </si>
  <si>
    <t>IOTA-VTI + Occular</t>
  </si>
  <si>
    <t>Frame 4</t>
  </si>
  <si>
    <t>Slow 3</t>
  </si>
  <si>
    <t>IOTA-VTI + R-OTE</t>
  </si>
  <si>
    <t>Frame 8</t>
  </si>
  <si>
    <t>Slow 4</t>
  </si>
  <si>
    <t>Frame 16</t>
  </si>
  <si>
    <t>Slow 5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</si>
  <si>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</si>
  <si>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</si>
  <si>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</si>
  <si>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</si>
  <si>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</si>
  <si>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</si>
  <si>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</si>
  <si>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</si>
  <si>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Non-Integrating Cameras - NO correction</t>
  </si>
  <si>
    <t>910HX</t>
  </si>
  <si>
    <t>910BD</t>
  </si>
  <si>
    <t>None</t>
  </si>
  <si>
    <t>PC-164C-EX2</t>
  </si>
  <si>
    <t>SK-1004XC</t>
  </si>
  <si>
    <t>2x</t>
  </si>
  <si>
    <t>WAT-902H2 Ultimate</t>
  </si>
  <si>
    <t>4x</t>
  </si>
  <si>
    <t>PC-164C</t>
  </si>
  <si>
    <t>8x</t>
  </si>
  <si>
    <t>16x</t>
  </si>
  <si>
    <t>32x</t>
  </si>
  <si>
    <t>64x</t>
  </si>
  <si>
    <t>128x</t>
  </si>
  <si>
    <t>256x</t>
  </si>
  <si>
    <t>PC-165DNR  (EIA)</t>
  </si>
  <si>
    <t>165DNR</t>
  </si>
  <si>
    <t>Mintron 12V1C-EX (CCIR) and 12V1C-EX (EIA)</t>
  </si>
  <si>
    <t>6x</t>
  </si>
  <si>
    <t>12x</t>
  </si>
  <si>
    <t>24x</t>
  </si>
  <si>
    <t>48x</t>
  </si>
  <si>
    <t>96x</t>
  </si>
  <si>
    <t>Red Integrations should NOT be used</t>
  </si>
  <si>
    <t>Mallincam MCH Plus Color (CCIR) and (EIA)</t>
  </si>
  <si>
    <t>Sense Up</t>
  </si>
  <si>
    <t>x2</t>
  </si>
  <si>
    <t>x6</t>
  </si>
  <si>
    <t>x12</t>
  </si>
  <si>
    <t>x16</t>
  </si>
  <si>
    <t>x24</t>
  </si>
  <si>
    <t>x32</t>
  </si>
  <si>
    <t>x48</t>
  </si>
  <si>
    <t>x64</t>
  </si>
  <si>
    <t>x96</t>
  </si>
  <si>
    <t>x128</t>
  </si>
  <si>
    <t>SCB-2000N  (EIA)</t>
  </si>
  <si>
    <t>10x</t>
  </si>
  <si>
    <t>14x</t>
  </si>
  <si>
    <t>512x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</si>
</sst>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</numFmts>
  <fonts count="43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i/>
      <sz val="14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12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4"/>
      <color indexed="30"/>
      <name val="Arial"/>
      <family val="2"/>
    </font>
    <font>
      <sz val="12"/>
      <name val="Times New Roman"/>
      <family val="1"/>
    </font>
    <font>
      <i/>
      <sz val="14"/>
      <name val="Times New Roman"/>
      <family val="1"/>
    </font>
    <font>
      <u/>
      <sz val="14"/>
      <name val="Arial"/>
      <family val="2"/>
    </font>
    <font>
      <sz val="10"/>
      <color indexed="17"/>
      <name val="Arial"/>
      <family val="2"/>
    </font>
    <font>
      <b/>
      <sz val="14"/>
      <color indexed="30"/>
      <name val="Arial"/>
      <family val="2"/>
    </font>
    <font>
      <sz val="8"/>
      <name val="Arial"/>
      <family val="2"/>
    </font>
    <font>
      <b/>
      <sz val="12"/>
      <color indexed="17"/>
      <name val="Arial"/>
      <family val="2"/>
    </font>
    <font>
      <sz val="9"/>
      <color indexed="81"/>
      <name val="Tahoma"/>
      <family val="2"/>
    </font>
    <font>
      <b/>
      <sz val="11"/>
      <color indexed="10"/>
      <name val="Arial"/>
      <family val="2"/>
    </font>
    <font>
      <b/>
      <sz val="10.5"/>
      <name val="Arial"/>
      <family val="2"/>
    </font>
    <font>
      <sz val="12"/>
      <color indexed="12"/>
      <name val="Arial"/>
      <family val="2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</fills>
  <borders count="20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229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0" fillId="0" borderId="0" xfId="0" applyFont="1"/>
    <xf numFmtId="0" fontId="11" fillId="0" borderId="0" xfId="0" applyFont="1"/>
    <xf numFmtId="0" fontId="7" fillId="0" borderId="0" xfId="0" applyFont="1" applyAlignment="1">
      <alignment horizontal="left"/>
    </xf>
    <xf numFmtId="49" fontId="14" fillId="0" borderId="0" xfId="0" applyNumberFormat="1" applyFont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0" applyNumberFormat="1" applyFont="1" applyAlignment="1">
      <alignment horizontal="center" vertical="center"/>
    </xf>
    <xf numFmtId="49" fontId="8" fillId="2" borderId="0" xfId="0" applyNumberFormat="1" applyFont="1" applyFill="1" applyAlignment="1" applyProtection="1">
      <alignment horizontal="left" vertical="top"/>
      <protection locked="0"/>
    </xf>
    <xf numFmtId="49" fontId="8" fillId="2" borderId="0" xfId="0" applyNumberFormat="1" applyFont="1" applyFill="1" applyAlignment="1">
      <alignment horizontal="left" vertical="top"/>
    </xf>
    <xf numFmtId="165" fontId="0" fillId="2" borderId="1" xfId="0" applyNumberFormat="1" applyFill="1" applyBorder="1" applyAlignment="1" applyProtection="1">
      <alignment horizontal="right" vertical="center"/>
      <protection locked="0"/>
    </xf>
    <xf numFmtId="165" fontId="0" fillId="2" borderId="1" xfId="0" applyNumberFormat="1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3" fillId="0" borderId="0" xfId="1" applyFont="1" applyAlignment="1" applyProtection="1"/>
    <xf numFmtId="0" fontId="22" fillId="0" borderId="0" xfId="1" applyFont="1" applyAlignment="1" applyProtection="1"/>
    <xf numFmtId="0" fontId="28" fillId="0" borderId="0" xfId="0" applyFont="1"/>
    <xf numFmtId="0" fontId="29" fillId="0" borderId="0" xfId="1" applyFont="1" applyAlignment="1" applyProtection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horizontal="left" indent="12"/>
    </xf>
    <xf numFmtId="0" fontId="14" fillId="0" borderId="0" xfId="0" applyFont="1"/>
    <xf numFmtId="0" fontId="17" fillId="0" borderId="0" xfId="0" applyFont="1" applyAlignment="1">
      <alignment vertical="center"/>
    </xf>
    <xf numFmtId="0" fontId="32" fillId="0" borderId="0" xfId="0" applyFont="1"/>
    <xf numFmtId="49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5" fillId="0" borderId="0" xfId="0" applyFont="1"/>
    <xf numFmtId="0" fontId="13" fillId="0" borderId="0" xfId="0" applyFont="1"/>
    <xf numFmtId="0" fontId="33" fillId="0" borderId="0" xfId="1" applyFont="1" applyAlignment="1" applyProtection="1"/>
    <xf numFmtId="0" fontId="14" fillId="0" borderId="0" xfId="1" applyFont="1" applyAlignment="1" applyProtection="1"/>
    <xf numFmtId="0" fontId="34" fillId="0" borderId="0" xfId="0" applyFont="1"/>
    <xf numFmtId="0" fontId="1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/>
    <xf numFmtId="0" fontId="22" fillId="0" borderId="0" xfId="1" applyFont="1" applyAlignment="1" applyProtection="1">
      <alignment horizontal="left"/>
    </xf>
    <xf numFmtId="0" fontId="12" fillId="0" borderId="0" xfId="0" applyFont="1" applyAlignment="1">
      <alignment horizontal="left" vertical="center"/>
    </xf>
    <xf numFmtId="0" fontId="23" fillId="0" borderId="0" xfId="1" applyFont="1" applyAlignment="1" applyProtection="1">
      <alignment horizontal="left"/>
    </xf>
    <xf numFmtId="0" fontId="27" fillId="0" borderId="0" xfId="0" applyFont="1" applyAlignment="1">
      <alignment horizontal="left" vertical="center"/>
    </xf>
    <xf numFmtId="0" fontId="28" fillId="3" borderId="0" xfId="0" applyFont="1" applyFill="1"/>
    <xf numFmtId="0" fontId="35" fillId="3" borderId="0" xfId="0" applyFont="1" applyFill="1"/>
    <xf numFmtId="0" fontId="26" fillId="0" borderId="0" xfId="1" applyFont="1" applyAlignment="1" applyProtection="1">
      <alignment horizontal="left"/>
    </xf>
    <xf numFmtId="0" fontId="27" fillId="0" borderId="0" xfId="0" applyFont="1"/>
    <xf numFmtId="0" fontId="2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4" borderId="0" xfId="0" applyFont="1" applyFill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3" fillId="0" borderId="0" xfId="0" applyFont="1"/>
    <xf numFmtId="169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4" borderId="0" xfId="0" applyFill="1"/>
    <xf numFmtId="0" fontId="0" fillId="0" borderId="9" xfId="0" applyBorder="1"/>
    <xf numFmtId="0" fontId="0" fillId="0" borderId="6" xfId="0" applyBorder="1"/>
    <xf numFmtId="0" fontId="41" fillId="0" borderId="0" xfId="0" applyFont="1"/>
    <xf numFmtId="0" fontId="8" fillId="4" borderId="11" xfId="0" applyFont="1" applyFill="1" applyBorder="1" applyAlignment="1" applyProtection="1">
      <alignment horizontal="center" vertical="center"/>
      <protection locked="0"/>
    </xf>
    <xf numFmtId="49" fontId="21" fillId="4" borderId="0" xfId="0" applyNumberFormat="1" applyFont="1" applyFill="1" applyAlignment="1" applyProtection="1">
      <alignment horizontal="center" vertical="center"/>
      <protection locked="0"/>
    </xf>
    <xf numFmtId="169" fontId="0" fillId="6" borderId="12" xfId="0" applyNumberFormat="1" applyFill="1" applyBorder="1" applyAlignment="1" applyProtection="1">
      <alignment horizontal="center"/>
      <protection locked="0"/>
    </xf>
    <xf numFmtId="165" fontId="8" fillId="4" borderId="0" xfId="0" applyNumberFormat="1" applyFont="1" applyFill="1" applyAlignment="1" applyProtection="1">
      <alignment horizontal="center" vertical="center"/>
      <protection locked="0"/>
    </xf>
    <xf numFmtId="165" fontId="8" fillId="4" borderId="0" xfId="0" applyNumberFormat="1" applyFont="1" applyFill="1" applyAlignment="1" applyProtection="1">
      <alignment horizontal="left" vertical="center"/>
      <protection locked="0"/>
    </xf>
    <xf numFmtId="1" fontId="0" fillId="4" borderId="7" xfId="0" applyNumberForma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Alignment="1" applyProtection="1">
      <alignment vertical="center"/>
      <protection locked="0"/>
    </xf>
    <xf numFmtId="165" fontId="0" fillId="4" borderId="13" xfId="0" applyNumberFormat="1" applyFill="1" applyBorder="1" applyAlignment="1" applyProtection="1">
      <alignment horizontal="right" vertical="center"/>
      <protection locked="0"/>
    </xf>
    <xf numFmtId="165" fontId="0" fillId="4" borderId="13" xfId="0" applyNumberFormat="1" applyFill="1" applyBorder="1" applyAlignment="1" applyProtection="1">
      <alignment horizontal="center" vertical="center"/>
      <protection locked="0"/>
    </xf>
    <xf numFmtId="165" fontId="0" fillId="4" borderId="1" xfId="0" applyNumberFormat="1" applyFill="1" applyBorder="1" applyAlignment="1" applyProtection="1">
      <alignment horizontal="right" vertical="center"/>
      <protection locked="0"/>
    </xf>
    <xf numFmtId="165" fontId="0" fillId="4" borderId="1" xfId="0" applyNumberFormat="1" applyFill="1" applyBorder="1" applyAlignment="1" applyProtection="1">
      <alignment horizontal="center" vertical="center"/>
      <protection locked="0"/>
    </xf>
    <xf numFmtId="165" fontId="3" fillId="7" borderId="1" xfId="0" applyNumberFormat="1" applyFont="1" applyFill="1" applyBorder="1" applyAlignment="1" applyProtection="1">
      <alignment horizontal="right" vertical="center"/>
      <protection locked="0"/>
    </xf>
    <xf numFmtId="165" fontId="3" fillId="7" borderId="1" xfId="0" applyNumberFormat="1" applyFont="1" applyFill="1" applyBorder="1" applyAlignment="1" applyProtection="1">
      <alignment horizontal="center" vertical="center"/>
      <protection locked="0"/>
    </xf>
    <xf numFmtId="165" fontId="3" fillId="6" borderId="1" xfId="0" applyNumberFormat="1" applyFont="1" applyFill="1" applyBorder="1" applyAlignment="1" applyProtection="1">
      <alignment horizontal="right" vertical="center"/>
      <protection locked="0"/>
    </xf>
    <xf numFmtId="165" fontId="3" fillId="6" borderId="1" xfId="0" applyNumberFormat="1" applyFont="1" applyFill="1" applyBorder="1" applyAlignment="1" applyProtection="1">
      <alignment horizontal="center" vertical="center"/>
      <protection locked="0"/>
    </xf>
    <xf numFmtId="168" fontId="1" fillId="4" borderId="1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/>
    <xf numFmtId="165" fontId="8" fillId="4" borderId="0" xfId="0" applyNumberFormat="1" applyFont="1" applyFill="1" applyAlignment="1" applyProtection="1">
      <alignment horizontal="right" vertical="center" wrapText="1"/>
      <protection locked="0"/>
    </xf>
    <xf numFmtId="0" fontId="27" fillId="0" borderId="0" xfId="1" applyFont="1" applyAlignment="1" applyProtection="1">
      <alignment horizontal="left"/>
    </xf>
    <xf numFmtId="0" fontId="27" fillId="0" borderId="0" xfId="1" applyFont="1" applyAlignment="1" applyProtection="1"/>
    <xf numFmtId="0" fontId="26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4" borderId="0" xfId="0" applyFont="1" applyFill="1" applyAlignment="1" applyProtection="1">
      <alignment horizontal="center" vertical="center"/>
      <protection locked="0"/>
    </xf>
    <xf numFmtId="0" fontId="20" fillId="4" borderId="0" xfId="0" applyFont="1" applyFill="1" applyAlignment="1">
      <alignment horizontal="center" vertical="center"/>
    </xf>
    <xf numFmtId="169" fontId="20" fillId="4" borderId="0" xfId="0" applyNumberFormat="1" applyFont="1" applyFill="1" applyAlignment="1">
      <alignment horizontal="center" vertical="center"/>
    </xf>
    <xf numFmtId="169" fontId="20" fillId="4" borderId="7" xfId="0" applyNumberFormat="1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4" borderId="0" xfId="0" applyFont="1" applyFill="1"/>
    <xf numFmtId="169" fontId="2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8" fillId="4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7" xfId="0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4" fillId="2" borderId="0" xfId="0" applyFont="1" applyFill="1" applyAlignment="1" applyProtection="1">
      <alignment horizontal="left" vertical="center" indent="1"/>
      <protection locked="0"/>
    </xf>
    <xf numFmtId="0" fontId="3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4" borderId="0" xfId="0" applyFont="1" applyFill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0" xfId="0" applyFill="1" applyAlignment="1" applyProtection="1">
      <alignment horizontal="left" vertical="center" indent="1"/>
      <protection locked="0"/>
    </xf>
    <xf numFmtId="0" fontId="2" fillId="0" borderId="0" xfId="0" applyFont="1" applyAlignment="1">
      <alignment horizontal="center"/>
    </xf>
    <xf numFmtId="0" fontId="8" fillId="4" borderId="0" xfId="0" applyFont="1" applyFill="1" applyAlignment="1" applyProtection="1">
      <alignment horizontal="left" vertical="center" indent="1"/>
      <protection locked="0"/>
    </xf>
    <xf numFmtId="0" fontId="8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1" fontId="14" fillId="4" borderId="0" xfId="0" applyNumberFormat="1" applyFont="1" applyFill="1" applyAlignment="1" applyProtection="1">
      <alignment horizontal="left" vertical="center" indent="1"/>
      <protection locked="0"/>
    </xf>
    <xf numFmtId="49" fontId="8" fillId="4" borderId="0" xfId="0" applyNumberFormat="1" applyFont="1" applyFill="1" applyAlignment="1" applyProtection="1">
      <alignment horizontal="center" vertical="center"/>
      <protection locked="0"/>
    </xf>
    <xf numFmtId="0" fontId="29" fillId="4" borderId="12" xfId="0" applyFont="1" applyFill="1" applyBorder="1" applyAlignment="1" applyProtection="1">
      <alignment horizontal="left" vertical="center" indent="1"/>
      <protection locked="0"/>
    </xf>
    <xf numFmtId="0" fontId="8" fillId="4" borderId="12" xfId="0" applyFont="1" applyFill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4" borderId="0" xfId="0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 vertical="center"/>
    </xf>
    <xf numFmtId="0" fontId="8" fillId="4" borderId="0" xfId="0" applyFont="1" applyFill="1" applyAlignment="1" applyProtection="1">
      <alignment horizontal="center" vertical="center"/>
      <protection locked="0"/>
    </xf>
    <xf numFmtId="166" fontId="0" fillId="2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6" fontId="3" fillId="7" borderId="1" xfId="0" applyNumberFormat="1" applyFont="1" applyFill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left" vertical="center" indent="1"/>
    </xf>
    <xf numFmtId="0" fontId="9" fillId="4" borderId="0" xfId="1" applyFill="1" applyAlignment="1" applyProtection="1">
      <alignment horizontal="left" vertical="center" indent="1"/>
      <protection locked="0"/>
    </xf>
    <xf numFmtId="0" fontId="8" fillId="4" borderId="17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/>
    <xf numFmtId="0" fontId="2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4" borderId="15" xfId="0" applyFont="1" applyFill="1" applyBorder="1" applyAlignment="1" applyProtection="1">
      <alignment horizontal="left" indent="3"/>
      <protection locked="0"/>
    </xf>
    <xf numFmtId="0" fontId="39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7" fontId="8" fillId="4" borderId="0" xfId="0" applyNumberFormat="1" applyFont="1" applyFill="1" applyAlignment="1" applyProtection="1">
      <alignment horizontal="left" vertical="center" indent="1"/>
      <protection locked="0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8" fillId="4" borderId="16" xfId="0" applyFont="1" applyFill="1" applyBorder="1" applyAlignment="1" applyProtection="1">
      <alignment horizontal="center" vertical="center"/>
      <protection locked="0"/>
    </xf>
    <xf numFmtId="0" fontId="24" fillId="0" borderId="0" xfId="0" applyFont="1" applyAlignment="1"/>
    <xf numFmtId="0" fontId="7" fillId="4" borderId="0" xfId="0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left" vertical="center" indent="2"/>
      <protection locked="0"/>
    </xf>
    <xf numFmtId="166" fontId="3" fillId="6" borderId="1" xfId="0" applyNumberFormat="1" applyFont="1" applyFill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2" borderId="0" xfId="0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 indent="1"/>
    </xf>
    <xf numFmtId="168" fontId="1" fillId="7" borderId="1" xfId="0" applyNumberFormat="1" applyFont="1" applyFill="1" applyBorder="1" applyAlignment="1" applyProtection="1">
      <alignment horizontal="center" vertical="center"/>
      <protection locked="0"/>
    </xf>
    <xf numFmtId="49" fontId="8" fillId="2" borderId="13" xfId="0" applyNumberFormat="1" applyFont="1" applyFill="1" applyBorder="1" applyAlignment="1" applyProtection="1">
      <alignment horizontal="left" vertical="center" indent="1"/>
      <protection locked="0"/>
    </xf>
    <xf numFmtId="0" fontId="2" fillId="4" borderId="6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left" vertical="center"/>
      <protection locked="0"/>
    </xf>
    <xf numFmtId="166" fontId="0" fillId="4" borderId="1" xfId="0" applyNumberFormat="1" applyFill="1" applyBorder="1" applyAlignment="1" applyProtection="1">
      <alignment horizontal="left" vertical="center"/>
      <protection locked="0"/>
    </xf>
    <xf numFmtId="168" fontId="1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21" fillId="0" borderId="0" xfId="0" applyFont="1" applyAlignment="1">
      <alignment horizontal="left" vertical="center" indent="1"/>
    </xf>
    <xf numFmtId="0" fontId="0" fillId="0" borderId="15" xfId="0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166" fontId="0" fillId="4" borderId="13" xfId="0" applyNumberForma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indent="3"/>
    </xf>
    <xf numFmtId="0" fontId="2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0" xfId="0" applyFill="1" applyAlignment="1">
      <alignment horizontal="right" vertical="center" indent="2"/>
    </xf>
    <xf numFmtId="0" fontId="3" fillId="4" borderId="17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6" borderId="0" xfId="0" applyFill="1" applyAlignment="1">
      <alignment horizontal="left" vertical="center" indent="2"/>
    </xf>
  </cellXfs>
  <cellStyles count="2">
    <cellStyle name="Hyperlink" xfId="1" builtinId="8"/>
    <cellStyle name="Normal" xfId="0" builtinId="0"/>
  </cellStyles>
  <dxfs count="3">
    <dxf>
      <font>
        <color indexed="10"/>
      </font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steroidoccultation.com/observations/NA/" TargetMode="External"/><Relationship Id="rId2" Type="http://schemas.openxmlformats.org/officeDocument/2006/relationships/hyperlink" Target="ttp://www.asteroidoccultation.com/observations/NA/Analysis%20of%20Camera%20Delay%20Corrections.pdf" TargetMode="External"/><Relationship Id="rId1" Type="http://schemas.openxmlformats.org/officeDocument/2006/relationships/hyperlink" Target="http://www.dangl.at/ausruest/vid_tim/vid_tim1.ht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D4B2D-3173-41F6-BF55-CAB2F3CBC871}">
  <sheetPr codeName="Sheet2">
    <tabColor indexed="60"/>
  </sheetPr>
  <dimension ref="A1:X163"/>
  <sheetViews>
    <sheetView showFormulas="1" showGridLines="0" topLeftCell="A29" zoomScale="75" workbookViewId="0">
      <selection activeCell="B146" sqref="B146"/>
    </sheetView>
  </sheetViews>
  <sheetFormatPr defaultRowHeight="13.15"/>
  <cols>
    <col min="1" max="1" width="18.7109375" customWidth="1"/>
    <col min="2" max="2" width="86.5703125" customWidth="1"/>
  </cols>
  <sheetData>
    <row r="1" spans="2:17" ht="30" customHeight="1">
      <c r="B1" s="60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57"/>
      <c r="O1" s="57"/>
      <c r="P1" s="57"/>
      <c r="Q1" s="57"/>
    </row>
    <row r="2" spans="2:17" ht="20.100000000000001" customHeight="1">
      <c r="B2" s="26" t="s">
        <v>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2:17" ht="20.100000000000001" customHeight="1">
      <c r="B3" s="26" t="s">
        <v>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2:17" ht="20.100000000000001" customHeight="1">
      <c r="B4" s="26" t="s">
        <v>3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2:17" ht="20.100000000000001" customHeight="1">
      <c r="B5" s="26" t="s">
        <v>4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2:17" ht="20.100000000000001" customHeight="1">
      <c r="B6" s="26" t="s">
        <v>5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2:17" ht="20.100000000000001" customHeight="1">
      <c r="B7" s="69" t="s">
        <v>6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2:17" ht="20.100000000000001" customHeight="1">
      <c r="B8" s="70" t="s">
        <v>7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2:17" ht="20.100000000000001" customHeight="1">
      <c r="B9" s="137" t="s">
        <v>8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26"/>
      <c r="N9" s="26"/>
      <c r="O9" s="26"/>
      <c r="P9" s="26"/>
      <c r="Q9" s="26"/>
    </row>
    <row r="10" spans="2:17" ht="20.100000000000001" customHeight="1">
      <c r="B10" s="26" t="s">
        <v>9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2:17" ht="20.100000000000001" customHeight="1">
      <c r="B11" s="26" t="s">
        <v>10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2:17" ht="20.100000000000001" customHeight="1">
      <c r="B12" s="26" t="s">
        <v>11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2:17" ht="20.100000000000001" customHeight="1">
      <c r="B13" s="26" t="s">
        <v>12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2:17" ht="20.100000000000001" customHeight="1">
      <c r="B14" s="26" t="s">
        <v>13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2:17" ht="20.100000000000001" customHeight="1">
      <c r="B15" s="26" t="s">
        <v>14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2:17" ht="20.100000000000001" customHeight="1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 ht="20.100000000000001" customHeight="1">
      <c r="A17" s="99"/>
      <c r="B17" s="26" t="s">
        <v>15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20.100000000000001" customHeight="1">
      <c r="A18" s="99"/>
      <c r="B18" s="32" t="s">
        <v>16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20.100000000000001" customHeight="1">
      <c r="A19" s="99"/>
      <c r="B19" s="26" t="s">
        <v>17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20.100000000000001" customHeight="1">
      <c r="A20" s="99"/>
      <c r="B20" s="26" t="s">
        <v>18</v>
      </c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 ht="20.100000000000001" customHeight="1">
      <c r="A21" s="99"/>
      <c r="B21" s="26" t="s">
        <v>19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 ht="20.100000000000001" customHeight="1">
      <c r="A22" s="99"/>
      <c r="B22" s="26" t="s">
        <v>20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 ht="20.100000000000001" customHeight="1">
      <c r="A23" s="99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20.100000000000001" customHeight="1">
      <c r="A24" s="99"/>
      <c r="B24" s="26" t="s">
        <v>21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 ht="20.100000000000001" customHeight="1">
      <c r="A25" s="99"/>
      <c r="B25" s="26" t="s">
        <v>22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 ht="20.100000000000001" customHeight="1">
      <c r="A26" s="99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 ht="20.100000000000001" customHeight="1">
      <c r="A27" s="99"/>
      <c r="B27" s="26" t="s">
        <v>23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 ht="20.100000000000001" customHeight="1">
      <c r="A28" s="99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 ht="20.100000000000001" customHeight="1">
      <c r="A29" s="99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 ht="20.100000000000001" customHeight="1">
      <c r="A30" s="99"/>
      <c r="B30" s="26" t="s">
        <v>25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 ht="20.100000000000001" customHeight="1">
      <c r="A31" s="99"/>
      <c r="B31" s="26" t="s">
        <v>26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 ht="20.100000000000001" customHeight="1">
      <c r="A32" s="37"/>
      <c r="B32" s="26" t="s">
        <v>27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</row>
    <row r="33" spans="2:17" ht="20.100000000000001" customHeight="1">
      <c r="B33" s="26" t="s">
        <v>28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  <row r="34" spans="2:17" ht="20.100000000000001" customHeight="1"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</row>
    <row r="35" spans="2:17" ht="20.100000000000001" customHeight="1">
      <c r="B35" s="32" t="s">
        <v>29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</row>
    <row r="36" spans="2:17" ht="20.100000000000001" customHeight="1">
      <c r="B36" s="32" t="s">
        <v>30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</row>
    <row r="37" spans="2:17" ht="20.100000000000001" customHeight="1">
      <c r="B37" s="26" t="s">
        <v>31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</row>
    <row r="38" spans="2:17" ht="20.100000000000001" customHeight="1">
      <c r="B38" s="26" t="s">
        <v>32</v>
      </c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</row>
    <row r="39" spans="2:17" ht="20.100000000000001" customHeight="1">
      <c r="B39" s="26" t="s">
        <v>33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spans="2:17" ht="20.100000000000001" customHeight="1">
      <c r="B40" s="26" t="s">
        <v>34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spans="2:17" ht="20.100000000000001" customHeight="1">
      <c r="B41" s="32" t="s">
        <v>35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</row>
    <row r="42" spans="2:17" ht="20.100000000000001" customHeight="1">
      <c r="B42" s="26" t="s">
        <v>36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2:17" ht="20.100000000000001" customHeight="1">
      <c r="B43" s="26" t="s">
        <v>37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</row>
    <row r="44" spans="2:17" ht="20.100000000000001" customHeight="1">
      <c r="B44" s="26" t="s">
        <v>38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</row>
    <row r="45" spans="2:17" ht="20.100000000000001" customHeight="1">
      <c r="B45" s="26" t="s">
        <v>39</v>
      </c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</row>
    <row r="46" spans="2:17" ht="20.100000000000001" customHeight="1">
      <c r="B46" s="26" t="s">
        <v>40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</row>
    <row r="47" spans="2:17" ht="20.100000000000001" customHeight="1">
      <c r="B47" s="26" t="s">
        <v>41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2:17" ht="20.100000000000001" customHeight="1">
      <c r="B48" s="26" t="s">
        <v>42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1:17" ht="20.100000000000001" customHeight="1">
      <c r="A49" s="99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1:17" ht="20.100000000000001" customHeight="1">
      <c r="A50" s="99"/>
      <c r="B50" s="32" t="s">
        <v>43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1:17" ht="20.100000000000001" customHeight="1">
      <c r="A51" s="99"/>
      <c r="B51" s="26" t="s">
        <v>44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</row>
    <row r="52" spans="1:17" ht="20.100000000000001" customHeight="1">
      <c r="A52" s="99"/>
      <c r="B52" s="26" t="s">
        <v>45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</row>
    <row r="53" spans="1:17" ht="20.100000000000001" customHeight="1">
      <c r="A53" s="99"/>
      <c r="B53" s="26" t="s">
        <v>46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</row>
    <row r="54" spans="1:17" ht="20.100000000000001" customHeight="1">
      <c r="A54" s="99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</row>
    <row r="55" spans="1:17" ht="20.100000000000001" customHeight="1">
      <c r="A55" s="99"/>
      <c r="B55" s="32" t="s">
        <v>47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</row>
    <row r="56" spans="1:17" ht="20.100000000000001" customHeight="1">
      <c r="A56" s="99"/>
      <c r="B56" s="32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</row>
    <row r="57" spans="1:17" ht="20.100000000000001" customHeight="1">
      <c r="A57" s="64" t="s">
        <v>48</v>
      </c>
      <c r="B57" s="31" t="s">
        <v>49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1:17" ht="20.100000000000001" customHeight="1">
      <c r="A58" s="58"/>
      <c r="B58" s="31" t="s">
        <v>50</v>
      </c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1:17" ht="25.5" customHeight="1">
      <c r="A59" s="58"/>
      <c r="B59" s="31" t="s">
        <v>51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1:17" ht="25.5" customHeight="1">
      <c r="A60" s="58"/>
      <c r="B60" s="31" t="s">
        <v>52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1:17" ht="81" customHeight="1">
      <c r="A61" s="58"/>
      <c r="B61" s="67" t="s">
        <v>53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1:17" ht="25.5" customHeight="1">
      <c r="A62" s="58"/>
      <c r="B62" s="31" t="s">
        <v>54</v>
      </c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1:17" ht="25.5" customHeight="1">
      <c r="A63" s="58"/>
      <c r="B63" s="31" t="s">
        <v>55</v>
      </c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1:17" ht="25.5" customHeight="1">
      <c r="A64" s="58"/>
      <c r="B64" s="31" t="s">
        <v>56</v>
      </c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1:17" ht="25.5" customHeight="1">
      <c r="A65" s="99"/>
      <c r="B65" s="61" t="s">
        <v>57</v>
      </c>
      <c r="C65" s="59"/>
      <c r="D65" s="59"/>
      <c r="E65" s="59"/>
      <c r="F65" s="59"/>
      <c r="G65" s="59"/>
      <c r="H65" s="59"/>
      <c r="I65" s="59"/>
      <c r="J65" s="99"/>
      <c r="K65" s="31"/>
      <c r="L65" s="31"/>
      <c r="M65" s="31"/>
      <c r="N65" s="31"/>
      <c r="O65" s="31"/>
      <c r="P65" s="31"/>
      <c r="Q65" s="31"/>
    </row>
    <row r="66" spans="1:17" ht="25.5" customHeight="1">
      <c r="A66" s="99"/>
      <c r="B66" s="61" t="s">
        <v>58</v>
      </c>
      <c r="C66" s="59"/>
      <c r="D66" s="59"/>
      <c r="E66" s="59"/>
      <c r="F66" s="59"/>
      <c r="G66" s="59"/>
      <c r="H66" s="59"/>
      <c r="I66" s="59"/>
      <c r="J66" s="99"/>
      <c r="K66" s="31"/>
      <c r="L66" s="31"/>
      <c r="M66" s="31"/>
      <c r="N66" s="31"/>
      <c r="O66" s="31"/>
      <c r="P66" s="31"/>
      <c r="Q66" s="31"/>
    </row>
    <row r="67" spans="1:17" ht="25.5" customHeight="1">
      <c r="A67" s="99"/>
      <c r="B67" s="61"/>
      <c r="C67" s="59"/>
      <c r="D67" s="59"/>
      <c r="E67" s="59"/>
      <c r="F67" s="59"/>
      <c r="G67" s="59"/>
      <c r="H67" s="59"/>
      <c r="I67" s="59"/>
      <c r="J67" s="99"/>
      <c r="K67" s="31"/>
      <c r="L67" s="31"/>
      <c r="M67" s="31"/>
      <c r="N67" s="31"/>
      <c r="O67" s="31"/>
      <c r="P67" s="31"/>
      <c r="Q67" s="31"/>
    </row>
    <row r="68" spans="1:17" ht="20.100000000000001" customHeight="1">
      <c r="A68" s="58"/>
      <c r="B68" s="51" t="s">
        <v>59</v>
      </c>
      <c r="C68" s="99"/>
      <c r="D68" s="99"/>
      <c r="E68" s="99"/>
      <c r="F68" s="99"/>
      <c r="G68" s="99"/>
      <c r="H68" s="99"/>
      <c r="I68" s="99"/>
      <c r="J68" s="99"/>
      <c r="K68" s="31"/>
      <c r="L68" s="31"/>
      <c r="M68" s="31"/>
      <c r="N68" s="31"/>
      <c r="O68" s="31"/>
      <c r="P68" s="31"/>
      <c r="Q68" s="31"/>
    </row>
    <row r="69" spans="1:17" ht="20.100000000000001" customHeight="1">
      <c r="A69" s="58"/>
      <c r="B69" s="40" t="s">
        <v>60</v>
      </c>
      <c r="C69" s="99"/>
      <c r="D69" s="99"/>
      <c r="E69" s="99"/>
      <c r="F69" s="99"/>
      <c r="G69" s="99"/>
      <c r="H69" s="99"/>
      <c r="I69" s="99"/>
      <c r="J69" s="99"/>
      <c r="K69" s="31"/>
      <c r="L69" s="31"/>
      <c r="M69" s="31"/>
      <c r="N69" s="31"/>
      <c r="O69" s="31"/>
      <c r="P69" s="31"/>
      <c r="Q69" s="31"/>
    </row>
    <row r="70" spans="1:17" ht="20.100000000000001" customHeight="1">
      <c r="A70" s="63"/>
      <c r="B70" s="62" t="s">
        <v>61</v>
      </c>
      <c r="C70" s="99"/>
      <c r="D70" s="99"/>
      <c r="E70" s="99"/>
      <c r="F70" s="99"/>
      <c r="G70" s="99"/>
      <c r="H70" s="99"/>
      <c r="I70" s="99"/>
      <c r="J70" s="99"/>
      <c r="K70" s="99"/>
      <c r="L70" s="31"/>
      <c r="M70" s="31"/>
      <c r="N70" s="31"/>
      <c r="O70" s="31"/>
      <c r="P70" s="31"/>
      <c r="Q70" s="31"/>
    </row>
    <row r="71" spans="1:17" ht="20.100000000000001" customHeight="1">
      <c r="A71" s="63"/>
      <c r="B71" s="101" t="s">
        <v>62</v>
      </c>
      <c r="C71" s="99"/>
      <c r="D71" s="99"/>
      <c r="E71" s="99"/>
      <c r="F71" s="99"/>
      <c r="G71" s="99"/>
      <c r="H71" s="99"/>
      <c r="I71" s="99"/>
      <c r="J71" s="99"/>
      <c r="K71" s="99"/>
      <c r="L71" s="31"/>
      <c r="M71" s="31"/>
      <c r="N71" s="31"/>
      <c r="O71" s="31"/>
      <c r="P71" s="31"/>
      <c r="Q71" s="31"/>
    </row>
    <row r="72" spans="1:17" ht="20.100000000000001" customHeight="1">
      <c r="A72" s="64"/>
      <c r="B72" s="101" t="s">
        <v>63</v>
      </c>
      <c r="C72" s="99"/>
      <c r="D72" s="99"/>
      <c r="E72" s="99"/>
      <c r="F72" s="99"/>
      <c r="G72" s="99"/>
      <c r="H72" s="99"/>
      <c r="I72" s="99"/>
      <c r="J72" s="99"/>
      <c r="K72" s="99"/>
      <c r="L72" s="31"/>
      <c r="M72" s="31"/>
      <c r="N72" s="31"/>
      <c r="O72" s="31"/>
      <c r="P72" s="31"/>
      <c r="Q72" s="31"/>
    </row>
    <row r="73" spans="1:17" ht="20.100000000000001" customHeight="1">
      <c r="A73" s="64"/>
      <c r="B73" s="65" t="s">
        <v>64</v>
      </c>
      <c r="C73" s="99"/>
      <c r="D73" s="99"/>
      <c r="E73" s="99"/>
      <c r="F73" s="99"/>
      <c r="G73" s="99"/>
      <c r="H73" s="99"/>
      <c r="I73" s="99"/>
      <c r="J73" s="99"/>
      <c r="K73" s="99"/>
      <c r="L73" s="31"/>
      <c r="M73" s="31"/>
      <c r="N73" s="31"/>
      <c r="O73" s="31"/>
      <c r="P73" s="31"/>
      <c r="Q73" s="31"/>
    </row>
    <row r="74" spans="1:17" ht="20.100000000000001" customHeight="1">
      <c r="A74" s="50"/>
      <c r="B74" s="101" t="s">
        <v>65</v>
      </c>
      <c r="C74" s="99"/>
      <c r="D74" s="99"/>
      <c r="E74" s="99"/>
      <c r="F74" s="99"/>
      <c r="G74" s="99"/>
      <c r="H74" s="99"/>
      <c r="I74" s="99"/>
      <c r="J74" s="99"/>
      <c r="K74" s="99"/>
      <c r="L74" s="31"/>
      <c r="M74" s="31"/>
      <c r="N74" s="31"/>
      <c r="O74" s="31"/>
      <c r="P74" s="31"/>
      <c r="Q74" s="31"/>
    </row>
    <row r="75" spans="1:17" ht="20.100000000000001" customHeight="1">
      <c r="A75" s="99"/>
      <c r="B75" s="40" t="s">
        <v>66</v>
      </c>
      <c r="C75" s="99"/>
      <c r="D75" s="99"/>
      <c r="E75" s="99"/>
      <c r="F75" s="99"/>
      <c r="G75" s="99"/>
      <c r="H75" s="99"/>
      <c r="I75" s="99"/>
      <c r="J75" s="99"/>
      <c r="K75" s="99"/>
      <c r="L75" s="31"/>
      <c r="M75" s="31"/>
      <c r="N75" s="31"/>
      <c r="O75" s="31"/>
      <c r="P75" s="31"/>
      <c r="Q75" s="31"/>
    </row>
    <row r="76" spans="1:17" ht="20.100000000000001" customHeight="1">
      <c r="A76" s="99"/>
      <c r="B76" s="51" t="s">
        <v>67</v>
      </c>
      <c r="C76" s="99"/>
      <c r="D76" s="99"/>
      <c r="E76" s="99"/>
      <c r="F76" s="99"/>
      <c r="G76" s="99"/>
      <c r="H76" s="99"/>
      <c r="I76" s="99"/>
      <c r="J76" s="99"/>
      <c r="K76" s="99"/>
      <c r="L76" s="31"/>
      <c r="M76" s="31"/>
      <c r="N76" s="31"/>
      <c r="O76" s="31"/>
      <c r="P76" s="31"/>
      <c r="Q76" s="31"/>
    </row>
    <row r="77" spans="1:17" ht="20.100000000000001" customHeight="1">
      <c r="A77" s="35"/>
      <c r="B77" s="40" t="s">
        <v>68</v>
      </c>
      <c r="C77" s="99"/>
      <c r="D77" s="99"/>
      <c r="E77" s="99"/>
      <c r="F77" s="99"/>
      <c r="G77" s="99"/>
      <c r="H77" s="99"/>
      <c r="I77" s="99"/>
      <c r="J77" s="99"/>
      <c r="K77" s="99"/>
      <c r="L77" s="31"/>
      <c r="M77" s="31"/>
      <c r="N77" s="31"/>
      <c r="O77" s="31"/>
      <c r="P77" s="31"/>
      <c r="Q77" s="31"/>
    </row>
    <row r="78" spans="1:17" ht="20.100000000000001" customHeight="1">
      <c r="A78" s="35"/>
      <c r="B78" s="31" t="s">
        <v>69</v>
      </c>
      <c r="C78" s="99"/>
      <c r="D78" s="99"/>
      <c r="E78" s="99"/>
      <c r="F78" s="99"/>
      <c r="G78" s="99"/>
      <c r="H78" s="99"/>
      <c r="I78" s="99"/>
      <c r="J78" s="99"/>
      <c r="K78" s="99"/>
      <c r="L78" s="31"/>
      <c r="M78" s="31"/>
      <c r="N78" s="31"/>
      <c r="O78" s="31"/>
      <c r="P78" s="31"/>
      <c r="Q78" s="31"/>
    </row>
    <row r="79" spans="1:17" ht="20.100000000000001" customHeight="1">
      <c r="A79" s="35"/>
      <c r="B79" s="31" t="s">
        <v>70</v>
      </c>
      <c r="C79" s="99"/>
      <c r="D79" s="99"/>
      <c r="E79" s="99"/>
      <c r="F79" s="99"/>
      <c r="G79" s="99"/>
      <c r="H79" s="99"/>
      <c r="I79" s="99"/>
      <c r="J79" s="99"/>
      <c r="K79" s="99"/>
      <c r="L79" s="31"/>
      <c r="M79" s="31"/>
      <c r="N79" s="31"/>
      <c r="O79" s="31"/>
      <c r="P79" s="31"/>
      <c r="Q79" s="31"/>
    </row>
    <row r="80" spans="1:17" ht="20.100000000000001" customHeight="1">
      <c r="A80" s="35"/>
      <c r="B80" s="33" t="s">
        <v>71</v>
      </c>
      <c r="C80" s="99"/>
      <c r="D80" s="99"/>
      <c r="E80" s="99"/>
      <c r="F80" s="99"/>
      <c r="G80" s="99"/>
      <c r="H80" s="99"/>
      <c r="I80" s="99"/>
      <c r="J80" s="99"/>
      <c r="K80" s="99"/>
      <c r="L80" s="31"/>
      <c r="M80" s="31"/>
      <c r="N80" s="31"/>
      <c r="O80" s="31"/>
      <c r="P80" s="31"/>
      <c r="Q80" s="31"/>
    </row>
    <row r="81" spans="1:24" ht="20.100000000000001" customHeight="1">
      <c r="A81" s="35"/>
      <c r="B81" s="101" t="s">
        <v>72</v>
      </c>
      <c r="C81" s="99"/>
      <c r="D81" s="99"/>
      <c r="E81" s="101"/>
      <c r="F81" s="101"/>
      <c r="G81" s="101"/>
      <c r="H81" s="101"/>
      <c r="I81" s="101"/>
      <c r="J81" s="101"/>
      <c r="K81" s="101"/>
      <c r="L81" s="31"/>
      <c r="M81" s="31"/>
      <c r="N81" s="31"/>
      <c r="O81" s="31"/>
      <c r="P81" s="31"/>
      <c r="Q81" s="31"/>
      <c r="R81" s="99"/>
      <c r="S81" s="99"/>
      <c r="T81" s="99"/>
      <c r="U81" s="99"/>
      <c r="V81" s="99"/>
      <c r="W81" s="99"/>
      <c r="X81" s="99"/>
    </row>
    <row r="82" spans="1:24" ht="20.100000000000001" customHeight="1">
      <c r="A82" s="35"/>
      <c r="B82" s="102" t="s">
        <v>73</v>
      </c>
      <c r="C82" s="99"/>
      <c r="D82" s="101"/>
      <c r="E82" s="101"/>
      <c r="F82" s="101"/>
      <c r="G82" s="101"/>
      <c r="H82" s="101"/>
      <c r="I82" s="101"/>
      <c r="J82" s="101"/>
      <c r="K82" s="101"/>
      <c r="L82" s="31"/>
      <c r="M82" s="31"/>
      <c r="N82" s="31"/>
      <c r="O82" s="31"/>
      <c r="P82" s="31"/>
      <c r="Q82" s="31"/>
      <c r="R82" s="99"/>
      <c r="S82" s="99"/>
      <c r="T82" s="99"/>
      <c r="U82" s="99"/>
      <c r="V82" s="99"/>
      <c r="W82" s="99"/>
      <c r="X82" s="99"/>
    </row>
    <row r="83" spans="1:24" ht="20.100000000000001" customHeight="1">
      <c r="A83" s="35"/>
      <c r="B83" s="101" t="s">
        <v>74</v>
      </c>
      <c r="C83" s="99"/>
      <c r="D83" s="99"/>
      <c r="E83" s="101"/>
      <c r="F83" s="101"/>
      <c r="G83" s="101"/>
      <c r="H83" s="101"/>
      <c r="I83" s="101"/>
      <c r="J83" s="101"/>
      <c r="K83" s="101"/>
      <c r="L83" s="31"/>
      <c r="M83" s="31"/>
      <c r="N83" s="31"/>
      <c r="O83" s="31"/>
      <c r="P83" s="31"/>
      <c r="Q83" s="31"/>
      <c r="R83" s="99"/>
      <c r="S83" s="99"/>
      <c r="T83" s="99"/>
      <c r="U83" s="99"/>
      <c r="V83" s="99"/>
      <c r="W83" s="99"/>
      <c r="X83" s="99"/>
    </row>
    <row r="84" spans="1:24" ht="20.100000000000001" customHeight="1">
      <c r="A84" s="35"/>
      <c r="B84" s="101" t="s">
        <v>75</v>
      </c>
      <c r="C84" s="99"/>
      <c r="D84" s="99"/>
      <c r="E84" s="101"/>
      <c r="F84" s="101"/>
      <c r="G84" s="101"/>
      <c r="H84" s="101"/>
      <c r="I84" s="101"/>
      <c r="J84" s="101"/>
      <c r="K84" s="31"/>
      <c r="L84" s="31"/>
      <c r="M84" s="31"/>
      <c r="N84" s="31"/>
      <c r="O84" s="31"/>
      <c r="P84" s="31"/>
      <c r="Q84" s="31"/>
      <c r="R84" s="99"/>
      <c r="S84" s="99"/>
      <c r="T84" s="99"/>
      <c r="U84" s="99"/>
      <c r="V84" s="99"/>
      <c r="W84" s="99"/>
      <c r="X84" s="99"/>
    </row>
    <row r="85" spans="1:24" ht="20.100000000000001" customHeight="1">
      <c r="A85" s="35"/>
      <c r="B85" s="102" t="s">
        <v>76</v>
      </c>
      <c r="C85" s="99"/>
      <c r="D85" s="99"/>
      <c r="E85" s="102"/>
      <c r="F85" s="102"/>
      <c r="G85" s="102"/>
      <c r="H85" s="102"/>
      <c r="I85" s="102"/>
      <c r="J85" s="102"/>
      <c r="K85" s="102"/>
      <c r="L85" s="31"/>
      <c r="M85" s="31"/>
      <c r="N85" s="31"/>
      <c r="O85" s="31"/>
      <c r="P85" s="31"/>
      <c r="Q85" s="31"/>
      <c r="R85" s="99"/>
      <c r="S85" s="99"/>
      <c r="T85" s="99"/>
      <c r="U85" s="99"/>
      <c r="V85" s="99"/>
      <c r="W85" s="99"/>
      <c r="X85" s="99"/>
    </row>
    <row r="86" spans="1:24" ht="20.100000000000001" customHeight="1">
      <c r="A86" s="35"/>
      <c r="B86" s="102" t="s">
        <v>77</v>
      </c>
      <c r="C86" s="99"/>
      <c r="D86" s="99"/>
      <c r="E86" s="102"/>
      <c r="F86" s="102"/>
      <c r="G86" s="102"/>
      <c r="H86" s="102"/>
      <c r="I86" s="102"/>
      <c r="J86" s="102"/>
      <c r="K86" s="31"/>
      <c r="L86" s="31"/>
      <c r="M86" s="31"/>
      <c r="N86" s="31"/>
      <c r="O86" s="31"/>
      <c r="P86" s="31"/>
      <c r="Q86" s="31"/>
      <c r="R86" s="99"/>
      <c r="S86" s="99"/>
      <c r="T86" s="99"/>
      <c r="U86" s="99"/>
      <c r="V86" s="99"/>
      <c r="W86" s="99"/>
      <c r="X86" s="99"/>
    </row>
    <row r="87" spans="1:24" ht="20.100000000000001" customHeight="1">
      <c r="A87" s="35"/>
      <c r="B87" s="66"/>
      <c r="C87" s="99"/>
      <c r="D87" s="101"/>
      <c r="E87" s="101"/>
      <c r="F87" s="101"/>
      <c r="G87" s="101"/>
      <c r="H87" s="101"/>
      <c r="I87" s="101"/>
      <c r="J87" s="101"/>
      <c r="K87" s="101"/>
      <c r="L87" s="31"/>
      <c r="M87" s="31"/>
      <c r="N87" s="31"/>
      <c r="O87" s="31"/>
      <c r="P87" s="31"/>
      <c r="Q87" s="31"/>
      <c r="R87" s="99"/>
      <c r="S87" s="99"/>
      <c r="T87" s="99"/>
      <c r="U87" s="99"/>
      <c r="V87" s="99"/>
      <c r="W87" s="99"/>
      <c r="X87" s="99"/>
    </row>
    <row r="88" spans="1:24" ht="20.100000000000001" customHeight="1">
      <c r="A88" s="50"/>
      <c r="B88" s="66"/>
      <c r="C88" s="99"/>
      <c r="D88" s="34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99"/>
      <c r="S88" s="99"/>
      <c r="T88" s="99"/>
      <c r="U88" s="99"/>
      <c r="V88" s="99"/>
      <c r="W88" s="99"/>
      <c r="X88" s="99"/>
    </row>
    <row r="89" spans="1:24" ht="20.100000000000001" customHeight="1">
      <c r="A89" s="35"/>
      <c r="B89" s="36"/>
      <c r="C89" s="99"/>
      <c r="D89" s="99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99"/>
      <c r="S89" s="99"/>
      <c r="T89" s="99"/>
      <c r="U89" s="99"/>
      <c r="V89" s="99"/>
      <c r="W89" s="99"/>
      <c r="X89" s="99"/>
    </row>
    <row r="90" spans="1:24" ht="20.100000000000001" customHeight="1">
      <c r="A90" s="35"/>
      <c r="B90" s="62" t="s">
        <v>78</v>
      </c>
      <c r="C90" s="99"/>
      <c r="D90" s="99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99"/>
      <c r="S90" s="99"/>
      <c r="T90" s="99"/>
      <c r="U90" s="99"/>
      <c r="V90" s="99"/>
      <c r="W90" s="99"/>
      <c r="X90" s="99"/>
    </row>
    <row r="91" spans="1:24" ht="20.100000000000001" customHeight="1">
      <c r="A91" s="35"/>
      <c r="B91" s="99"/>
      <c r="C91" s="99"/>
      <c r="D91" s="99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99"/>
      <c r="S91" s="99"/>
      <c r="T91" s="99"/>
      <c r="U91" s="99"/>
      <c r="V91" s="99"/>
      <c r="W91" s="99"/>
      <c r="X91" s="99"/>
    </row>
    <row r="92" spans="1:24" ht="20.100000000000001" customHeight="1">
      <c r="A92" s="35"/>
      <c r="B92" s="62" t="s">
        <v>79</v>
      </c>
      <c r="C92" s="99"/>
      <c r="D92" s="99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99"/>
      <c r="S92" s="99"/>
      <c r="T92" s="99"/>
      <c r="U92" s="99"/>
      <c r="V92" s="99"/>
      <c r="W92" s="99"/>
      <c r="X92" s="99"/>
    </row>
    <row r="93" spans="1:24" ht="20.100000000000001" customHeight="1">
      <c r="A93" s="35"/>
      <c r="B93" s="62" t="s">
        <v>80</v>
      </c>
      <c r="C93" s="99"/>
      <c r="D93" s="62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99"/>
      <c r="S93" s="99"/>
      <c r="T93" s="99"/>
      <c r="U93" s="99"/>
      <c r="V93" s="99"/>
      <c r="W93" s="99"/>
      <c r="X93" s="99"/>
    </row>
    <row r="94" spans="1:24" ht="20.100000000000001" customHeight="1">
      <c r="A94" s="35"/>
      <c r="B94" s="62" t="s">
        <v>81</v>
      </c>
      <c r="C94" s="99"/>
      <c r="D94" s="99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99"/>
      <c r="S94" s="99"/>
      <c r="T94" s="99"/>
      <c r="U94" s="99"/>
      <c r="V94" s="99"/>
      <c r="W94" s="99"/>
      <c r="X94" s="99"/>
    </row>
    <row r="95" spans="1:24" ht="20.100000000000001" customHeight="1">
      <c r="A95" s="51"/>
      <c r="B95" s="51" t="s">
        <v>82</v>
      </c>
      <c r="C95" s="99"/>
      <c r="D95" s="99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"/>
      <c r="S95" s="1"/>
      <c r="T95" s="1"/>
      <c r="U95" s="1"/>
      <c r="V95" s="1"/>
      <c r="W95" s="1"/>
      <c r="X95" s="1"/>
    </row>
    <row r="96" spans="1:24" ht="20.100000000000001" customHeight="1">
      <c r="A96" s="51"/>
      <c r="B96" s="51" t="s">
        <v>83</v>
      </c>
      <c r="C96" s="99"/>
      <c r="D96" s="99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"/>
      <c r="S96" s="1"/>
      <c r="T96" s="1"/>
      <c r="U96" s="1"/>
      <c r="V96" s="1"/>
      <c r="W96" s="1"/>
      <c r="X96" s="1"/>
    </row>
    <row r="97" spans="1:24" ht="20.100000000000001" customHeight="1">
      <c r="A97" s="51"/>
      <c r="B97" s="26" t="s">
        <v>84</v>
      </c>
      <c r="C97" s="99"/>
      <c r="D97" s="99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"/>
      <c r="S97" s="1"/>
      <c r="T97" s="1"/>
      <c r="U97" s="1"/>
      <c r="V97" s="1"/>
      <c r="W97" s="1"/>
      <c r="X97" s="1"/>
    </row>
    <row r="98" spans="1:24" ht="20.100000000000001" customHeight="1">
      <c r="A98" s="51"/>
      <c r="B98" s="52"/>
      <c r="C98" s="99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"/>
      <c r="S98" s="1"/>
      <c r="T98" s="1"/>
      <c r="U98" s="1"/>
      <c r="V98" s="1"/>
      <c r="W98" s="1"/>
      <c r="X98" s="1"/>
    </row>
    <row r="99" spans="1:24" ht="20.100000000000001" customHeight="1">
      <c r="A99" s="51"/>
      <c r="B99" s="32"/>
      <c r="C99" s="52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"/>
      <c r="S99" s="1"/>
      <c r="T99" s="1"/>
      <c r="U99" s="1"/>
      <c r="V99" s="1"/>
      <c r="W99" s="1"/>
      <c r="X99" s="1"/>
    </row>
    <row r="100" spans="1:24" ht="20.100000000000001" customHeight="1">
      <c r="A100" s="51"/>
      <c r="B100" s="32"/>
      <c r="C100" s="53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"/>
      <c r="S100" s="1"/>
      <c r="T100" s="1"/>
      <c r="U100" s="1"/>
      <c r="V100" s="1"/>
      <c r="W100" s="1"/>
      <c r="X100" s="1"/>
    </row>
    <row r="101" spans="1:24" ht="20.100000000000001" customHeight="1">
      <c r="A101" s="28"/>
      <c r="B101" s="32" t="s">
        <v>85</v>
      </c>
      <c r="C101" s="34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99"/>
      <c r="S101" s="99"/>
      <c r="T101" s="99"/>
      <c r="U101" s="99"/>
      <c r="V101" s="99"/>
      <c r="W101" s="99"/>
      <c r="X101" s="99"/>
    </row>
    <row r="102" spans="1:24" ht="37.5" customHeight="1">
      <c r="A102" s="28"/>
      <c r="B102" s="68" t="s">
        <v>86</v>
      </c>
      <c r="C102" s="34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99"/>
      <c r="S102" s="99"/>
      <c r="T102" s="99"/>
      <c r="U102" s="99"/>
      <c r="V102" s="99"/>
      <c r="W102" s="99"/>
      <c r="X102" s="99"/>
    </row>
    <row r="103" spans="1:24" ht="20.100000000000001" customHeight="1">
      <c r="A103" s="28"/>
      <c r="B103" s="29"/>
      <c r="C103" s="33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99"/>
      <c r="S103" s="99"/>
      <c r="T103" s="99"/>
      <c r="U103" s="99"/>
      <c r="V103" s="99"/>
      <c r="W103" s="99"/>
      <c r="X103" s="99"/>
    </row>
    <row r="104" spans="1:24" ht="20.100000000000001" customHeight="1">
      <c r="A104" s="99"/>
      <c r="B104" s="99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99"/>
      <c r="S104" s="99"/>
      <c r="T104" s="99"/>
      <c r="U104" s="99"/>
      <c r="V104" s="99"/>
      <c r="W104" s="99"/>
      <c r="X104" s="99"/>
    </row>
    <row r="105" spans="1:24" ht="20.100000000000001" customHeight="1">
      <c r="A105" s="99"/>
      <c r="B105" s="32" t="s">
        <v>87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99"/>
      <c r="S105" s="99"/>
      <c r="T105" s="99"/>
      <c r="U105" s="99"/>
      <c r="V105" s="99"/>
      <c r="W105" s="99"/>
      <c r="X105" s="99"/>
    </row>
    <row r="106" spans="1:24" ht="20.100000000000001" customHeight="1">
      <c r="A106" s="99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99"/>
      <c r="S106" s="99"/>
      <c r="T106" s="99"/>
      <c r="U106" s="99"/>
      <c r="V106" s="99"/>
      <c r="W106" s="99"/>
      <c r="X106" s="99"/>
    </row>
    <row r="107" spans="1:24" ht="20.100000000000001" customHeight="1">
      <c r="A107" s="99"/>
      <c r="B107" s="32" t="s">
        <v>88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99"/>
      <c r="S107" s="99"/>
      <c r="T107" s="99"/>
      <c r="U107" s="99"/>
      <c r="V107" s="99"/>
      <c r="W107" s="99"/>
      <c r="X107" s="99"/>
    </row>
    <row r="108" spans="1:24" ht="20.100000000000001" customHeight="1">
      <c r="A108" s="99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99"/>
      <c r="S108" s="99"/>
      <c r="T108" s="99"/>
      <c r="U108" s="99"/>
      <c r="V108" s="99"/>
      <c r="W108" s="99"/>
      <c r="X108" s="99"/>
    </row>
    <row r="109" spans="1:24" ht="20.100000000000001" customHeight="1">
      <c r="A109" s="99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99"/>
      <c r="S109" s="99"/>
      <c r="T109" s="99"/>
      <c r="U109" s="99"/>
      <c r="V109" s="99"/>
      <c r="W109" s="99"/>
      <c r="X109" s="99"/>
    </row>
    <row r="110" spans="1:24" ht="20.100000000000001" customHeight="1">
      <c r="A110" s="99"/>
      <c r="B110" s="32" t="s">
        <v>89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99"/>
      <c r="S110" s="99"/>
      <c r="T110" s="99"/>
      <c r="U110" s="99"/>
      <c r="V110" s="99"/>
      <c r="W110" s="99"/>
      <c r="X110" s="99"/>
    </row>
    <row r="111" spans="1:24" ht="20.100000000000001" customHeight="1">
      <c r="A111" s="99"/>
      <c r="B111" s="26" t="s">
        <v>90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99"/>
      <c r="S111" s="99"/>
      <c r="T111" s="99"/>
      <c r="U111" s="99"/>
      <c r="V111" s="99"/>
      <c r="W111" s="99"/>
      <c r="X111" s="99"/>
    </row>
    <row r="112" spans="1:24" ht="20.100000000000001" customHeight="1">
      <c r="A112" s="99"/>
      <c r="B112" s="26" t="s">
        <v>91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99"/>
      <c r="S112" s="99"/>
      <c r="T112" s="99"/>
      <c r="U112" s="99"/>
      <c r="V112" s="99"/>
      <c r="W112" s="99"/>
      <c r="X112" s="99"/>
    </row>
    <row r="113" spans="1:17" ht="20.100000000000001" customHeight="1">
      <c r="A113" s="99"/>
      <c r="B113" s="26" t="s">
        <v>92</v>
      </c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</row>
    <row r="114" spans="1:17" ht="20.100000000000001" customHeight="1">
      <c r="A114" s="99"/>
      <c r="B114" s="26" t="s">
        <v>93</v>
      </c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</row>
    <row r="115" spans="1:17" ht="20.100000000000001" customHeight="1">
      <c r="A115" s="99"/>
      <c r="B115" s="26" t="s">
        <v>94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20.100000000000001" customHeight="1">
      <c r="A116" s="99"/>
      <c r="B116" s="26" t="s">
        <v>95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</row>
    <row r="117" spans="1:17" ht="20.100000000000001" customHeight="1">
      <c r="A117" s="99"/>
      <c r="B117" s="26" t="s">
        <v>96</v>
      </c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</row>
    <row r="118" spans="1:17" ht="20.100000000000001" customHeight="1">
      <c r="A118" s="28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spans="1:17" ht="20.100000000000001" customHeight="1">
      <c r="A119" s="99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spans="1:17" ht="20.100000000000001" customHeight="1">
      <c r="A120" s="99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 spans="1:17" ht="20.100000000000001" customHeight="1">
      <c r="A121" s="99"/>
      <c r="B121" s="26" t="s">
        <v>97</v>
      </c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</row>
    <row r="122" spans="1:17" ht="20.100000000000001" customHeight="1">
      <c r="A122" s="99"/>
      <c r="B122" s="26" t="s">
        <v>98</v>
      </c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</row>
    <row r="123" spans="1:17" ht="20.100000000000001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</row>
    <row r="124" spans="1:17" ht="20.100000000000001" customHeight="1">
      <c r="A124" s="99"/>
      <c r="B124" s="103" t="s">
        <v>99</v>
      </c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</row>
    <row r="125" spans="1:17" ht="20.100000000000001" customHeight="1">
      <c r="A125" s="51"/>
      <c r="B125" s="26" t="s">
        <v>100</v>
      </c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</row>
    <row r="126" spans="1:17" ht="20.100000000000001" customHeight="1">
      <c r="A126" s="99"/>
      <c r="B126" s="26" t="s">
        <v>101</v>
      </c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</row>
    <row r="127" spans="1:17" ht="20.100000000000001" customHeight="1">
      <c r="A127" s="99"/>
      <c r="B127" s="26" t="s">
        <v>102</v>
      </c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</row>
    <row r="128" spans="1:17" ht="20.100000000000001" customHeight="1">
      <c r="A128" s="99"/>
      <c r="B128" s="26" t="s">
        <v>103</v>
      </c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ht="20.100000000000001" customHeight="1">
      <c r="A129" s="99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ht="20.100000000000001" customHeight="1">
      <c r="A130" s="99"/>
      <c r="B130" s="26" t="s">
        <v>104</v>
      </c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</row>
    <row r="131" spans="1:17" ht="20.100000000000001" customHeight="1">
      <c r="A131" s="99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</row>
    <row r="132" spans="1:17" ht="20.100000000000001" customHeight="1">
      <c r="A132" s="99"/>
      <c r="B132" s="32" t="s">
        <v>105</v>
      </c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24" customHeight="1">
      <c r="A133" s="99"/>
      <c r="B133" s="26" t="s">
        <v>106</v>
      </c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</row>
    <row r="134" spans="1:17" ht="20.100000000000001" customHeight="1">
      <c r="A134" s="99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</row>
    <row r="135" spans="1:17" ht="20.100000000000001" customHeight="1">
      <c r="A135" s="51" t="s">
        <v>107</v>
      </c>
      <c r="B135" s="130" t="s">
        <v>108</v>
      </c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</row>
    <row r="136" spans="1:17" ht="20.100000000000001" customHeight="1">
      <c r="A136" s="99"/>
      <c r="B136" s="41" t="s">
        <v>109</v>
      </c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</row>
    <row r="137" spans="1:17" ht="20.100000000000001" customHeight="1">
      <c r="A137" s="99"/>
      <c r="B137" s="55" t="s">
        <v>110</v>
      </c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</row>
    <row r="138" spans="1:17" ht="18">
      <c r="A138" s="99"/>
      <c r="B138" s="55" t="s">
        <v>111</v>
      </c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</row>
    <row r="139" spans="1:17" ht="30" customHeight="1">
      <c r="A139" s="99"/>
      <c r="B139" s="55" t="s">
        <v>112</v>
      </c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</row>
    <row r="140" spans="1:17" ht="30" customHeight="1">
      <c r="A140" s="99"/>
      <c r="B140" s="40" t="s">
        <v>113</v>
      </c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99"/>
      <c r="O140" s="99"/>
      <c r="P140" s="99"/>
      <c r="Q140" s="99"/>
    </row>
    <row r="141" spans="1:17" ht="21">
      <c r="A141" s="99"/>
      <c r="B141" s="25" t="s">
        <v>114</v>
      </c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</row>
    <row r="142" spans="1:17" ht="30" customHeight="1">
      <c r="A142" s="99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1:17" ht="30" customHeight="1">
      <c r="A143" s="99"/>
      <c r="B143" s="42" t="s">
        <v>115</v>
      </c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</row>
    <row r="144" spans="1:17" ht="30" customHeight="1">
      <c r="A144" s="99"/>
      <c r="B144" s="42" t="s">
        <v>116</v>
      </c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</row>
    <row r="145" spans="2:17" ht="30" customHeight="1">
      <c r="B145" s="55" t="s">
        <v>117</v>
      </c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</row>
    <row r="146" spans="2:17" ht="17.45">
      <c r="B146" s="128" t="s">
        <v>118</v>
      </c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</row>
    <row r="147" spans="2:17" ht="17.45">
      <c r="B147" s="40" t="s">
        <v>119</v>
      </c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</row>
    <row r="150" spans="2:17" ht="15.6">
      <c r="B150" s="38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</row>
    <row r="152" spans="2:17" ht="15.6">
      <c r="B152" s="38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</row>
    <row r="153" spans="2:17" ht="15.6">
      <c r="B153" s="38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</row>
    <row r="154" spans="2:17" ht="15.6">
      <c r="B154" s="38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</row>
    <row r="155" spans="2:17" ht="15.6">
      <c r="B155" s="38"/>
      <c r="C155" s="38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</row>
    <row r="156" spans="2:17" ht="15.6">
      <c r="B156" s="38"/>
      <c r="C156" s="99"/>
      <c r="D156" s="99"/>
      <c r="E156" s="38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</row>
    <row r="157" spans="2:17" ht="15.6">
      <c r="B157" s="38"/>
      <c r="C157" s="99"/>
      <c r="D157" s="38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</row>
    <row r="158" spans="2:17" ht="15.6">
      <c r="B158" s="3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</row>
    <row r="159" spans="2:17" ht="15.6">
      <c r="B159" s="38"/>
      <c r="C159" s="99"/>
      <c r="D159" s="38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</row>
    <row r="160" spans="2:17" ht="15.6">
      <c r="B160" s="3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</row>
    <row r="161" spans="2:4" ht="15.6">
      <c r="B161" s="38"/>
      <c r="C161" s="99"/>
      <c r="D161" s="38"/>
    </row>
    <row r="162" spans="2:4" ht="15.6">
      <c r="B162" s="38"/>
      <c r="C162" s="38"/>
      <c r="D162" s="99"/>
    </row>
    <row r="163" spans="2:4" ht="15.6">
      <c r="B163" s="38"/>
      <c r="C163" s="99"/>
      <c r="D163" s="99"/>
    </row>
  </sheetData>
  <sheetProtection formatRows="0"/>
  <mergeCells count="1">
    <mergeCell ref="B9:L9"/>
  </mergeCells>
  <phoneticPr fontId="2" type="noConversion"/>
  <hyperlinks>
    <hyperlink ref="B65" r:id="rId1" xr:uid="{F482F008-F9FB-475A-9535-19FA6CA27BE8}"/>
    <hyperlink ref="B66" r:id="rId2" display="Or      http://www.asteroidoccultation.com/observations/NA/Analysis%20of%20Camera%20Delay%20Corrections.pdf " xr:uid="{7B9EA292-D26F-4657-9519-CB4AC06592C5}"/>
    <hyperlink ref="B80" r:id="rId3" xr:uid="{DAB77E9A-91A2-41EF-B36E-02CE64830795}"/>
  </hyperlinks>
  <pageMargins left="0.75" right="0.75" top="1" bottom="1" header="0.5" footer="0.5"/>
  <pageSetup orientation="portrait" r:id="rId4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41F7-3AF2-4C2B-83E5-4E9F30D1C3C6}">
  <sheetPr codeName="Sheet3"/>
  <dimension ref="A1:H96"/>
  <sheetViews>
    <sheetView topLeftCell="A53" workbookViewId="0">
      <selection activeCell="C27" sqref="C27"/>
    </sheetView>
  </sheetViews>
  <sheetFormatPr defaultRowHeight="13.15"/>
  <cols>
    <col min="1" max="1" width="33.85546875" customWidth="1"/>
    <col min="2" max="2" width="43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99" t="s">
        <v>120</v>
      </c>
      <c r="B1" s="99"/>
      <c r="C1" s="99"/>
      <c r="D1" s="99"/>
      <c r="E1" s="99"/>
      <c r="F1" s="99" t="s">
        <v>121</v>
      </c>
      <c r="G1" s="99"/>
      <c r="H1" s="99"/>
    </row>
    <row r="2" spans="1:8">
      <c r="A2" s="99" t="s">
        <v>122</v>
      </c>
      <c r="B2" s="99"/>
      <c r="C2" s="99"/>
      <c r="D2" s="99"/>
      <c r="E2" s="99"/>
      <c r="F2" s="99" t="s">
        <v>123</v>
      </c>
      <c r="G2" s="99"/>
      <c r="H2" s="99"/>
    </row>
    <row r="3" spans="1:8">
      <c r="A3" s="99" t="s">
        <v>124</v>
      </c>
      <c r="B3" s="99"/>
      <c r="C3" s="99"/>
      <c r="D3" s="99"/>
      <c r="E3" s="99"/>
      <c r="F3" s="99" t="s">
        <v>125</v>
      </c>
      <c r="G3" s="99"/>
      <c r="H3" s="99"/>
    </row>
    <row r="4" spans="1:8">
      <c r="A4" s="99" t="s">
        <v>126</v>
      </c>
      <c r="B4" s="99"/>
      <c r="C4" s="99"/>
      <c r="D4" s="99"/>
      <c r="E4" s="99"/>
      <c r="F4" s="99" t="s">
        <v>127</v>
      </c>
      <c r="G4" s="99"/>
      <c r="H4" s="99"/>
    </row>
    <row r="5" spans="1:8">
      <c r="A5" s="99" t="s">
        <v>128</v>
      </c>
      <c r="B5" s="99"/>
      <c r="C5" s="99"/>
      <c r="D5" s="99"/>
      <c r="E5" s="99"/>
      <c r="F5" s="99" t="s">
        <v>129</v>
      </c>
      <c r="G5" s="99"/>
      <c r="H5" s="99"/>
    </row>
    <row r="6" spans="1:8">
      <c r="A6" s="99" t="s">
        <v>130</v>
      </c>
      <c r="B6" s="99"/>
      <c r="C6" s="99"/>
      <c r="D6" s="99"/>
      <c r="E6" s="99"/>
      <c r="F6" s="99"/>
      <c r="G6" s="99"/>
      <c r="H6" s="99"/>
    </row>
    <row r="7" spans="1:8">
      <c r="A7" s="99" t="s">
        <v>131</v>
      </c>
      <c r="B7" s="99"/>
      <c r="C7" s="99"/>
      <c r="D7" s="99"/>
      <c r="E7" s="99"/>
      <c r="F7" s="99" t="s">
        <v>132</v>
      </c>
      <c r="G7" s="99"/>
      <c r="H7" s="99"/>
    </row>
    <row r="8" spans="1:8">
      <c r="A8" s="99" t="s">
        <v>133</v>
      </c>
      <c r="B8" s="99"/>
      <c r="C8" s="99"/>
      <c r="D8" s="99"/>
      <c r="E8" s="99"/>
      <c r="F8" s="99"/>
      <c r="G8" s="99"/>
      <c r="H8" s="99"/>
    </row>
    <row r="9" spans="1:8">
      <c r="A9" s="1" t="s">
        <v>134</v>
      </c>
      <c r="B9" s="99"/>
      <c r="C9" s="99" t="s">
        <v>135</v>
      </c>
      <c r="D9" s="99"/>
      <c r="E9" s="99" t="s">
        <v>136</v>
      </c>
      <c r="F9" s="99"/>
      <c r="G9" s="99" t="s">
        <v>137</v>
      </c>
      <c r="H9" s="99" t="s">
        <v>138</v>
      </c>
    </row>
    <row r="10" spans="1:8">
      <c r="A10" s="99"/>
      <c r="B10" s="99"/>
      <c r="C10" s="99" t="s">
        <v>139</v>
      </c>
      <c r="D10" s="99"/>
      <c r="E10" s="99" t="s">
        <v>140</v>
      </c>
      <c r="F10" s="99"/>
      <c r="G10" s="99" t="s">
        <v>141</v>
      </c>
      <c r="H10" s="99" t="s">
        <v>142</v>
      </c>
    </row>
    <row r="11" spans="1:8">
      <c r="A11" s="13" t="s">
        <v>143</v>
      </c>
      <c r="B11" s="99"/>
      <c r="C11" s="99"/>
      <c r="D11" s="99"/>
      <c r="E11" s="99"/>
      <c r="F11" s="99"/>
      <c r="G11" s="99"/>
      <c r="H11" s="99"/>
    </row>
    <row r="12" spans="1:8">
      <c r="A12" s="14" t="s">
        <v>144</v>
      </c>
      <c r="B12" s="99"/>
      <c r="C12" s="99"/>
      <c r="D12" s="99"/>
      <c r="E12" s="99"/>
      <c r="F12" s="99"/>
      <c r="G12" s="99"/>
      <c r="H12" s="99"/>
    </row>
    <row r="13" spans="1:8">
      <c r="A13" s="99" t="s">
        <v>145</v>
      </c>
      <c r="B13" s="99"/>
      <c r="C13" s="99"/>
      <c r="D13" s="99"/>
      <c r="E13" s="99"/>
      <c r="F13" s="99"/>
      <c r="G13" s="99"/>
      <c r="H13" s="99"/>
    </row>
    <row r="17" spans="1:8">
      <c r="A17" s="99"/>
      <c r="B17" s="99"/>
      <c r="C17" s="99" t="s">
        <v>146</v>
      </c>
      <c r="D17" s="99"/>
      <c r="E17" s="99"/>
      <c r="F17" s="99" t="s">
        <v>147</v>
      </c>
      <c r="G17" s="99"/>
      <c r="H17" s="99" t="s">
        <v>148</v>
      </c>
    </row>
    <row r="18" spans="1:8">
      <c r="A18" s="99"/>
      <c r="B18" s="99"/>
      <c r="C18" s="99" t="s">
        <v>149</v>
      </c>
      <c r="D18" s="99"/>
      <c r="E18" s="99"/>
      <c r="F18" s="99" t="s">
        <v>150</v>
      </c>
      <c r="G18" s="99"/>
      <c r="H18" s="99" t="s">
        <v>151</v>
      </c>
    </row>
    <row r="19" spans="1:8">
      <c r="A19" s="99" t="s">
        <v>152</v>
      </c>
      <c r="B19" s="99"/>
      <c r="C19" s="99"/>
      <c r="D19" s="99"/>
      <c r="E19" s="99"/>
      <c r="F19" s="99" t="s">
        <v>153</v>
      </c>
      <c r="G19" s="99"/>
      <c r="H19" s="99" t="s">
        <v>154</v>
      </c>
    </row>
    <row r="20" spans="1:8">
      <c r="A20" s="99" t="s">
        <v>155</v>
      </c>
      <c r="B20" s="99"/>
      <c r="C20" s="99"/>
      <c r="D20" s="99"/>
      <c r="E20" s="99"/>
      <c r="F20" s="99" t="s">
        <v>156</v>
      </c>
      <c r="G20" s="99"/>
      <c r="H20" s="99"/>
    </row>
    <row r="21" spans="1:8">
      <c r="A21" s="99" t="s">
        <v>157</v>
      </c>
      <c r="B21" s="99"/>
      <c r="C21" s="99"/>
      <c r="D21" s="99"/>
      <c r="E21" s="99"/>
      <c r="F21" s="99" t="s">
        <v>158</v>
      </c>
      <c r="G21" s="99"/>
      <c r="H21" s="99"/>
    </row>
    <row r="22" spans="1:8">
      <c r="A22" s="99" t="s">
        <v>159</v>
      </c>
      <c r="B22" s="99"/>
      <c r="C22" s="99"/>
      <c r="D22" s="99"/>
      <c r="E22" s="99"/>
      <c r="F22" s="99" t="s">
        <v>160</v>
      </c>
      <c r="G22" s="99"/>
      <c r="H22" s="99"/>
    </row>
    <row r="23" spans="1:8">
      <c r="A23" s="99" t="s">
        <v>161</v>
      </c>
      <c r="B23" s="99"/>
      <c r="C23" s="99"/>
      <c r="D23" s="99"/>
      <c r="E23" s="99"/>
      <c r="F23" s="99" t="s">
        <v>162</v>
      </c>
      <c r="G23" s="99"/>
      <c r="H23" s="99"/>
    </row>
    <row r="24" spans="1:8">
      <c r="A24" s="99" t="s">
        <v>163</v>
      </c>
      <c r="B24" s="99"/>
      <c r="C24" s="99"/>
      <c r="D24" s="99"/>
      <c r="E24" s="99"/>
      <c r="F24" s="99" t="s">
        <v>164</v>
      </c>
      <c r="G24" s="99"/>
      <c r="H24" s="99"/>
    </row>
    <row r="25" spans="1:8">
      <c r="A25" s="99" t="s">
        <v>165</v>
      </c>
      <c r="B25" s="99"/>
      <c r="C25" s="99"/>
      <c r="D25" s="99"/>
      <c r="E25" s="99"/>
      <c r="F25" s="99"/>
      <c r="G25" s="99"/>
      <c r="H25" s="99"/>
    </row>
    <row r="26" spans="1:8">
      <c r="A26" s="99" t="s">
        <v>166</v>
      </c>
      <c r="B26" s="99"/>
      <c r="C26" s="99"/>
      <c r="D26" s="99"/>
      <c r="E26" s="99"/>
      <c r="F26" s="99" t="s">
        <v>167</v>
      </c>
      <c r="G26" s="99"/>
      <c r="H26" s="99"/>
    </row>
    <row r="27" spans="1:8">
      <c r="A27" s="99"/>
      <c r="B27" s="99"/>
      <c r="C27" s="99">
        <f ca="1">YEAR(NOW())-1</f>
        <v>2025</v>
      </c>
      <c r="D27" s="99"/>
      <c r="E27" s="99"/>
      <c r="F27" s="99" t="s">
        <v>168</v>
      </c>
      <c r="G27" s="99"/>
      <c r="H27" s="99"/>
    </row>
    <row r="28" spans="1:8">
      <c r="A28" s="99"/>
      <c r="B28" s="99"/>
      <c r="C28" s="99">
        <f ca="1">C27+1</f>
        <v>2026</v>
      </c>
      <c r="D28" s="99"/>
      <c r="E28" s="99"/>
      <c r="F28" s="99" t="s">
        <v>169</v>
      </c>
      <c r="G28" s="99"/>
      <c r="H28" s="99"/>
    </row>
    <row r="29" spans="1:8">
      <c r="A29" s="99" t="s">
        <v>170</v>
      </c>
      <c r="B29" s="99"/>
      <c r="C29" s="99">
        <f ca="1">C28+1</f>
        <v>2027</v>
      </c>
      <c r="D29" s="99"/>
      <c r="E29" s="99"/>
      <c r="F29" s="99" t="s">
        <v>171</v>
      </c>
      <c r="G29" s="99"/>
      <c r="H29" s="99"/>
    </row>
    <row r="30" spans="1:8">
      <c r="A30" s="99" t="s">
        <v>172</v>
      </c>
      <c r="B30" s="99"/>
      <c r="C30" s="99">
        <f ca="1">C29+1</f>
        <v>2028</v>
      </c>
      <c r="D30" s="99"/>
      <c r="E30" s="99"/>
      <c r="F30" s="99"/>
      <c r="G30" s="99"/>
      <c r="H30" s="99"/>
    </row>
    <row r="31" spans="1:8">
      <c r="A31" s="99" t="s">
        <v>173</v>
      </c>
      <c r="B31" s="99"/>
      <c r="C31" s="99">
        <f ca="1">C30+1</f>
        <v>2029</v>
      </c>
      <c r="D31" s="99"/>
      <c r="E31" s="99"/>
      <c r="F31" s="99"/>
      <c r="G31" s="99"/>
      <c r="H31" s="99"/>
    </row>
    <row r="32" spans="1:8">
      <c r="A32" s="99" t="s">
        <v>174</v>
      </c>
      <c r="B32" s="99"/>
      <c r="C32" s="99">
        <f ca="1">C31+1</f>
        <v>2030</v>
      </c>
      <c r="D32" s="99"/>
      <c r="E32" s="99"/>
      <c r="F32" s="99"/>
      <c r="G32" s="99"/>
      <c r="H32" s="99"/>
    </row>
    <row r="33" spans="1:6">
      <c r="A33" s="99" t="s">
        <v>175</v>
      </c>
      <c r="B33" s="99"/>
      <c r="C33" s="99"/>
      <c r="D33" s="99"/>
      <c r="E33" s="99"/>
      <c r="F33" s="99" t="s">
        <v>176</v>
      </c>
    </row>
    <row r="34" spans="1:6">
      <c r="A34" s="99" t="s">
        <v>177</v>
      </c>
      <c r="B34" s="99"/>
      <c r="C34" s="99"/>
      <c r="D34" s="99"/>
      <c r="E34" s="99"/>
      <c r="F34" s="99" t="s">
        <v>178</v>
      </c>
    </row>
    <row r="35" spans="1:6">
      <c r="A35" s="99" t="s">
        <v>179</v>
      </c>
      <c r="B35" s="99"/>
      <c r="C35" s="99"/>
      <c r="D35" s="99"/>
      <c r="E35" s="99"/>
      <c r="F35" s="99" t="s">
        <v>180</v>
      </c>
    </row>
    <row r="36" spans="1:6">
      <c r="A36" s="99" t="s">
        <v>181</v>
      </c>
      <c r="B36" s="99"/>
      <c r="C36" s="99"/>
      <c r="D36" s="99"/>
      <c r="E36" s="99"/>
      <c r="F36" s="99"/>
    </row>
    <row r="37" spans="1:6">
      <c r="A37" s="99" t="s">
        <v>182</v>
      </c>
      <c r="B37" s="99"/>
      <c r="C37" s="99"/>
      <c r="D37" s="15" t="s">
        <v>146</v>
      </c>
      <c r="E37" s="99"/>
      <c r="F37" s="99" t="s">
        <v>183</v>
      </c>
    </row>
    <row r="38" spans="1:6">
      <c r="A38" s="99" t="s">
        <v>184</v>
      </c>
      <c r="B38" s="99"/>
      <c r="C38" s="99"/>
      <c r="D38" s="15" t="s">
        <v>149</v>
      </c>
      <c r="E38" s="99"/>
      <c r="F38" s="99" t="s">
        <v>185</v>
      </c>
    </row>
    <row r="39" spans="1:6">
      <c r="A39" s="99" t="s">
        <v>186</v>
      </c>
      <c r="B39" s="99"/>
      <c r="C39" s="99"/>
      <c r="D39" s="15" t="s">
        <v>187</v>
      </c>
      <c r="E39" s="99"/>
      <c r="F39" s="99" t="s">
        <v>188</v>
      </c>
    </row>
    <row r="40" spans="1:6" ht="13.9" thickBot="1">
      <c r="A40" s="99" t="s">
        <v>189</v>
      </c>
      <c r="B40" s="99"/>
      <c r="C40" s="99"/>
      <c r="D40" s="99"/>
      <c r="E40" s="99"/>
      <c r="F40" s="99" t="s">
        <v>190</v>
      </c>
    </row>
    <row r="41" spans="1:6">
      <c r="A41" s="99"/>
      <c r="B41" s="47">
        <v>0</v>
      </c>
      <c r="C41" s="99"/>
      <c r="D41" s="99"/>
      <c r="E41" s="99"/>
      <c r="F41" s="99" t="s">
        <v>191</v>
      </c>
    </row>
    <row r="42" spans="1:6">
      <c r="A42" s="99" t="s">
        <v>192</v>
      </c>
      <c r="B42" s="48">
        <v>1</v>
      </c>
      <c r="C42" s="99"/>
      <c r="D42" s="99"/>
      <c r="E42" s="99"/>
      <c r="F42" s="99" t="s">
        <v>193</v>
      </c>
    </row>
    <row r="43" spans="1:6">
      <c r="A43" s="99" t="s">
        <v>194</v>
      </c>
      <c r="B43" s="48">
        <v>1</v>
      </c>
      <c r="C43" s="99"/>
      <c r="D43" s="99"/>
      <c r="E43" s="99"/>
      <c r="F43" s="99" t="s">
        <v>195</v>
      </c>
    </row>
    <row r="44" spans="1:6">
      <c r="A44" s="99" t="s">
        <v>196</v>
      </c>
      <c r="B44" s="48">
        <v>1</v>
      </c>
      <c r="C44" s="99"/>
      <c r="D44" s="99"/>
      <c r="E44" s="99"/>
      <c r="F44" s="99"/>
    </row>
    <row r="45" spans="1:6">
      <c r="A45" s="99" t="s">
        <v>197</v>
      </c>
      <c r="B45" s="48">
        <v>1</v>
      </c>
      <c r="C45" s="99"/>
      <c r="D45" s="99"/>
      <c r="E45" s="99"/>
      <c r="F45" s="99"/>
    </row>
    <row r="46" spans="1:6">
      <c r="A46" s="99" t="s">
        <v>198</v>
      </c>
      <c r="B46" s="48">
        <v>2</v>
      </c>
      <c r="C46" s="99"/>
      <c r="D46" s="99"/>
      <c r="E46" s="99"/>
      <c r="F46" s="99"/>
    </row>
    <row r="47" spans="1:6">
      <c r="A47" s="99" t="s">
        <v>199</v>
      </c>
      <c r="B47" s="48">
        <v>3</v>
      </c>
      <c r="C47" s="99"/>
      <c r="D47" s="99"/>
      <c r="E47" s="99"/>
      <c r="F47" s="99"/>
    </row>
    <row r="48" spans="1:6">
      <c r="A48" s="99" t="s">
        <v>200</v>
      </c>
      <c r="B48" s="48">
        <v>4</v>
      </c>
      <c r="C48" s="99"/>
      <c r="D48" s="99"/>
      <c r="E48" s="99"/>
      <c r="F48" s="99" t="s">
        <v>201</v>
      </c>
    </row>
    <row r="49" spans="1:8">
      <c r="A49" s="99" t="s">
        <v>202</v>
      </c>
      <c r="B49" s="48">
        <v>5</v>
      </c>
      <c r="C49" s="99"/>
      <c r="D49" s="99"/>
      <c r="E49" s="99"/>
      <c r="F49" s="99" t="s">
        <v>203</v>
      </c>
      <c r="G49" s="99"/>
      <c r="H49" s="99"/>
    </row>
    <row r="50" spans="1:8" ht="13.9" thickBot="1">
      <c r="A50" s="99"/>
      <c r="B50" s="49" t="s">
        <v>204</v>
      </c>
      <c r="C50" s="99"/>
      <c r="D50" s="99"/>
      <c r="E50" s="99"/>
      <c r="F50" s="99" t="s">
        <v>205</v>
      </c>
      <c r="G50" s="99"/>
      <c r="H50" s="99"/>
    </row>
    <row r="51" spans="1:8">
      <c r="A51" s="1" t="s">
        <v>206</v>
      </c>
      <c r="B51" s="99"/>
      <c r="C51" s="99"/>
      <c r="D51" s="99"/>
      <c r="E51" s="99"/>
      <c r="F51" s="99"/>
      <c r="G51" s="99"/>
      <c r="H51" s="99"/>
    </row>
    <row r="52" spans="1:8">
      <c r="A52" s="99" t="s">
        <v>207</v>
      </c>
      <c r="B52" s="99"/>
      <c r="C52" s="99"/>
      <c r="D52" s="99"/>
      <c r="E52" s="99"/>
      <c r="F52" s="99"/>
      <c r="G52" s="99"/>
      <c r="H52" s="99"/>
    </row>
    <row r="53" spans="1:8">
      <c r="A53" s="99" t="s">
        <v>208</v>
      </c>
      <c r="B53" s="99"/>
      <c r="C53" s="99"/>
      <c r="D53" s="99"/>
      <c r="E53" s="99"/>
      <c r="F53" s="99"/>
      <c r="G53" s="99"/>
      <c r="H53" s="99"/>
    </row>
    <row r="54" spans="1:8">
      <c r="A54" s="99" t="s">
        <v>209</v>
      </c>
      <c r="B54" s="99"/>
      <c r="C54" s="99"/>
      <c r="D54" s="99"/>
      <c r="E54" s="99"/>
      <c r="F54" s="99"/>
      <c r="G54" s="99"/>
      <c r="H54" s="99"/>
    </row>
    <row r="55" spans="1:8">
      <c r="A55" s="99" t="s">
        <v>210</v>
      </c>
      <c r="B55" s="99"/>
      <c r="C55" s="99"/>
      <c r="D55" s="99"/>
      <c r="E55" s="99"/>
      <c r="F55" s="99"/>
      <c r="G55" s="99"/>
      <c r="H55" s="99"/>
    </row>
    <row r="56" spans="1:8">
      <c r="A56" s="99" t="s">
        <v>211</v>
      </c>
      <c r="B56" s="99"/>
      <c r="C56" s="99"/>
      <c r="D56" s="99"/>
      <c r="E56" s="99"/>
      <c r="F56" s="99"/>
      <c r="G56" s="99"/>
      <c r="H56" s="99"/>
    </row>
    <row r="57" spans="1:8">
      <c r="A57" s="99" t="s">
        <v>212</v>
      </c>
      <c r="B57" s="99"/>
      <c r="C57" s="99"/>
      <c r="D57" s="99"/>
      <c r="E57" s="99"/>
      <c r="F57" s="99"/>
      <c r="G57" s="99"/>
      <c r="H57" s="99"/>
    </row>
    <row r="58" spans="1:8">
      <c r="A58" s="99"/>
      <c r="B58" s="99"/>
      <c r="C58" s="99"/>
      <c r="D58" s="99"/>
      <c r="E58" s="99" t="s">
        <v>213</v>
      </c>
      <c r="F58" s="99" t="s">
        <v>214</v>
      </c>
      <c r="G58" s="99" t="s">
        <v>132</v>
      </c>
      <c r="H58" s="99"/>
    </row>
    <row r="60" spans="1:8">
      <c r="A60" s="121" t="s">
        <v>215</v>
      </c>
      <c r="B60" s="121" t="s">
        <v>216</v>
      </c>
      <c r="C60" s="121"/>
      <c r="D60" s="121"/>
      <c r="E60" s="121" t="s">
        <v>214</v>
      </c>
      <c r="F60" s="121" t="s">
        <v>217</v>
      </c>
      <c r="G60" s="121"/>
      <c r="H60" s="121"/>
    </row>
    <row r="61" spans="1:8">
      <c r="A61" s="121" t="s">
        <v>218</v>
      </c>
      <c r="B61" s="121" t="s">
        <v>219</v>
      </c>
      <c r="C61" s="99"/>
      <c r="D61" s="99"/>
      <c r="E61" s="121" t="s">
        <v>213</v>
      </c>
      <c r="F61" s="121" t="s">
        <v>220</v>
      </c>
      <c r="G61" s="121"/>
      <c r="H61" s="121"/>
    </row>
    <row r="62" spans="1:8">
      <c r="A62" s="121" t="s">
        <v>221</v>
      </c>
      <c r="B62" s="121" t="s">
        <v>222</v>
      </c>
      <c r="C62" s="99"/>
      <c r="D62" s="99"/>
      <c r="E62" s="121" t="s">
        <v>223</v>
      </c>
      <c r="F62" s="121" t="s">
        <v>224</v>
      </c>
      <c r="G62" s="121"/>
      <c r="H62" s="121"/>
    </row>
    <row r="63" spans="1:8">
      <c r="A63" s="121" t="s">
        <v>225</v>
      </c>
      <c r="B63" s="121" t="s">
        <v>226</v>
      </c>
      <c r="C63" s="99"/>
      <c r="D63" s="99"/>
      <c r="E63" s="121" t="s">
        <v>227</v>
      </c>
      <c r="F63" s="121" t="s">
        <v>228</v>
      </c>
      <c r="G63" s="121"/>
      <c r="H63" s="121"/>
    </row>
    <row r="64" spans="1:8">
      <c r="A64" s="121" t="s">
        <v>229</v>
      </c>
      <c r="B64" s="121" t="s">
        <v>230</v>
      </c>
      <c r="C64" s="99"/>
      <c r="D64" s="99"/>
      <c r="E64" s="121" t="s">
        <v>231</v>
      </c>
      <c r="F64" s="121"/>
      <c r="G64" s="121"/>
      <c r="H64" s="121"/>
    </row>
    <row r="65" spans="2:8">
      <c r="B65" s="121" t="s">
        <v>232</v>
      </c>
      <c r="C65" s="99"/>
      <c r="D65" s="99"/>
      <c r="E65" s="121" t="s">
        <v>233</v>
      </c>
      <c r="F65" s="121"/>
      <c r="G65" s="121"/>
      <c r="H65" s="121"/>
    </row>
    <row r="66" spans="2:8">
      <c r="B66" s="121" t="s">
        <v>234</v>
      </c>
      <c r="C66" s="99"/>
      <c r="D66" s="99"/>
      <c r="E66" s="121" t="s">
        <v>235</v>
      </c>
      <c r="F66" s="99"/>
      <c r="G66" s="99"/>
      <c r="H66" s="99"/>
    </row>
    <row r="67" spans="2:8">
      <c r="B67" s="121" t="s">
        <v>236</v>
      </c>
      <c r="C67" s="99"/>
      <c r="D67" s="99"/>
      <c r="E67" s="121"/>
      <c r="F67" s="99"/>
      <c r="G67" s="99"/>
      <c r="H67" s="99"/>
    </row>
    <row r="68" spans="2:8">
      <c r="B68" s="121" t="s">
        <v>237</v>
      </c>
      <c r="C68" s="99"/>
      <c r="D68" s="99"/>
      <c r="E68" s="99"/>
      <c r="F68" s="99"/>
      <c r="G68" s="99"/>
      <c r="H68" s="99"/>
    </row>
    <row r="69" spans="2:8">
      <c r="B69" s="121" t="s">
        <v>238</v>
      </c>
      <c r="C69" s="99"/>
      <c r="D69" s="99"/>
      <c r="E69" s="99"/>
      <c r="F69" s="99"/>
      <c r="G69" s="99"/>
      <c r="H69" s="99"/>
    </row>
    <row r="70" spans="2:8">
      <c r="B70" s="121" t="s">
        <v>239</v>
      </c>
      <c r="C70" s="99"/>
      <c r="D70" s="99"/>
      <c r="E70" s="99"/>
      <c r="F70" s="99"/>
      <c r="G70" s="99"/>
      <c r="H70" s="99"/>
    </row>
    <row r="71" spans="2:8">
      <c r="B71" s="121" t="s">
        <v>240</v>
      </c>
      <c r="C71" s="99"/>
      <c r="D71" s="99"/>
      <c r="E71" s="99"/>
      <c r="F71" s="99"/>
      <c r="G71" s="99"/>
      <c r="H71" s="99"/>
    </row>
    <row r="72" spans="2:8">
      <c r="B72" s="121" t="s">
        <v>240</v>
      </c>
      <c r="C72" s="121"/>
      <c r="D72" s="121"/>
      <c r="E72" s="99"/>
      <c r="F72" s="99"/>
      <c r="G72" s="99"/>
      <c r="H72" s="99"/>
    </row>
    <row r="73" spans="2:8">
      <c r="B73" s="121" t="s">
        <v>241</v>
      </c>
      <c r="C73" s="121"/>
      <c r="D73" s="121"/>
      <c r="E73" s="121"/>
      <c r="F73" s="99"/>
      <c r="G73" s="99"/>
      <c r="H73" s="99"/>
    </row>
    <row r="74" spans="2:8">
      <c r="B74" s="121" t="s">
        <v>242</v>
      </c>
      <c r="C74" s="121"/>
      <c r="D74" s="121"/>
      <c r="E74" s="121"/>
      <c r="F74" s="99"/>
      <c r="G74" s="99"/>
      <c r="H74" s="99"/>
    </row>
    <row r="75" spans="2:8">
      <c r="B75" s="121" t="s">
        <v>243</v>
      </c>
      <c r="C75" s="121"/>
      <c r="D75" s="121"/>
      <c r="E75" s="121"/>
      <c r="F75" s="99"/>
      <c r="G75" s="99"/>
      <c r="H75" s="99"/>
    </row>
    <row r="76" spans="2:8">
      <c r="B76" s="121" t="s">
        <v>244</v>
      </c>
      <c r="C76" s="121"/>
      <c r="D76" s="121"/>
      <c r="E76" s="121"/>
      <c r="F76" s="99"/>
      <c r="G76" s="99"/>
      <c r="H76" s="99"/>
    </row>
    <row r="77" spans="2:8">
      <c r="B77" s="121" t="s">
        <v>245</v>
      </c>
      <c r="C77" s="121"/>
      <c r="D77" s="121"/>
      <c r="E77" s="121"/>
      <c r="F77" s="99"/>
      <c r="G77" s="99"/>
      <c r="H77" s="99"/>
    </row>
    <row r="78" spans="2:8">
      <c r="B78" s="121" t="s">
        <v>246</v>
      </c>
      <c r="C78" s="121"/>
      <c r="D78" s="121"/>
      <c r="E78" s="121"/>
      <c r="F78" s="99"/>
      <c r="G78" s="99"/>
      <c r="H78" s="99"/>
    </row>
    <row r="79" spans="2:8">
      <c r="B79" s="121" t="s">
        <v>247</v>
      </c>
      <c r="C79" s="121"/>
      <c r="D79" s="121"/>
      <c r="E79" s="121"/>
      <c r="F79" s="99"/>
      <c r="G79" s="99"/>
      <c r="H79" s="99"/>
    </row>
    <row r="80" spans="2:8">
      <c r="B80" s="121" t="s">
        <v>248</v>
      </c>
      <c r="C80" s="121"/>
      <c r="D80" s="121"/>
      <c r="E80" s="121"/>
      <c r="F80" s="99"/>
      <c r="G80" s="99"/>
      <c r="H80" s="99"/>
    </row>
    <row r="81" spans="2:5">
      <c r="B81" s="121" t="s">
        <v>249</v>
      </c>
      <c r="C81" s="121"/>
      <c r="D81" s="121"/>
      <c r="E81" s="121"/>
    </row>
    <row r="82" spans="2:5">
      <c r="B82" s="121" t="s">
        <v>250</v>
      </c>
      <c r="C82" s="121"/>
      <c r="D82" s="121"/>
      <c r="E82" s="121"/>
    </row>
    <row r="83" spans="2:5">
      <c r="B83" s="121" t="s">
        <v>251</v>
      </c>
      <c r="C83" s="121"/>
      <c r="D83" s="121"/>
      <c r="E83" s="121"/>
    </row>
    <row r="84" spans="2:5">
      <c r="B84" s="99"/>
      <c r="C84" s="99"/>
      <c r="D84" s="99"/>
      <c r="E84" s="121"/>
    </row>
    <row r="85" spans="2:5">
      <c r="B85" s="121" t="s">
        <v>163</v>
      </c>
      <c r="C85" s="121"/>
      <c r="D85" s="121"/>
      <c r="E85" s="99"/>
    </row>
    <row r="86" spans="2:5">
      <c r="B86" s="121" t="s">
        <v>252</v>
      </c>
      <c r="C86" s="121"/>
      <c r="D86" s="121"/>
      <c r="E86" s="121"/>
    </row>
    <row r="87" spans="2:5">
      <c r="B87" s="121" t="s">
        <v>253</v>
      </c>
      <c r="C87" s="121"/>
      <c r="D87" s="121"/>
      <c r="E87" s="121"/>
    </row>
    <row r="88" spans="2:5">
      <c r="B88" s="121" t="s">
        <v>254</v>
      </c>
      <c r="C88" s="121"/>
      <c r="D88" s="121"/>
      <c r="E88" s="121"/>
    </row>
    <row r="89" spans="2:5">
      <c r="B89" s="121" t="s">
        <v>255</v>
      </c>
      <c r="C89" s="121"/>
      <c r="D89" s="121"/>
      <c r="E89" s="121"/>
    </row>
    <row r="90" spans="2:5">
      <c r="B90" s="121" t="s">
        <v>256</v>
      </c>
      <c r="C90" s="121"/>
      <c r="D90" s="121"/>
      <c r="E90" s="121"/>
    </row>
    <row r="91" spans="2:5">
      <c r="B91" s="121" t="s">
        <v>257</v>
      </c>
      <c r="C91" s="121"/>
      <c r="D91" s="121"/>
      <c r="E91" s="121"/>
    </row>
    <row r="92" spans="2:5">
      <c r="B92" s="121" t="s">
        <v>258</v>
      </c>
      <c r="C92" s="121"/>
      <c r="D92" s="121"/>
      <c r="E92" s="121"/>
    </row>
    <row r="93" spans="2:5">
      <c r="B93" s="121" t="s">
        <v>227</v>
      </c>
      <c r="C93" s="121"/>
      <c r="D93" s="121"/>
      <c r="E93" s="121"/>
    </row>
    <row r="94" spans="2:5">
      <c r="B94" s="121" t="s">
        <v>259</v>
      </c>
      <c r="C94" s="121"/>
      <c r="D94" s="121"/>
      <c r="E94" s="121"/>
    </row>
    <row r="95" spans="2:5">
      <c r="B95" s="121" t="s">
        <v>229</v>
      </c>
      <c r="C95" s="121"/>
      <c r="D95" s="121"/>
      <c r="E95" s="121"/>
    </row>
    <row r="96" spans="2:5">
      <c r="B96" s="99"/>
      <c r="C96" s="99"/>
      <c r="D96" s="99"/>
      <c r="E96" s="121"/>
    </row>
  </sheetData>
  <sheetProtection formatRows="0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3CAB-6B14-46F3-BB10-C56D80A656C5}">
  <sheetPr codeName="Sheet1">
    <tabColor indexed="18"/>
  </sheetPr>
  <dimension ref="A1:AD49"/>
  <sheetViews>
    <sheetView showGridLines="0" tabSelected="1" zoomScale="90" workbookViewId="0">
      <pane ySplit="3" topLeftCell="A17" activePane="bottomLeft" state="frozen"/>
      <selection pane="bottomLeft" activeCell="N17" sqref="N17:P17"/>
    </sheetView>
  </sheetViews>
  <sheetFormatPr defaultColWidth="9.140625" defaultRowHeight="13.15"/>
  <cols>
    <col min="1" max="1" width="7.42578125" customWidth="1"/>
    <col min="2" max="2" width="9.5703125" customWidth="1"/>
    <col min="3" max="3" width="5.7109375" customWidth="1"/>
    <col min="4" max="4" width="5.5703125" customWidth="1"/>
    <col min="5" max="5" width="9.85546875" customWidth="1"/>
    <col min="6" max="6" width="9.5703125" customWidth="1"/>
    <col min="7" max="7" width="1.7109375" customWidth="1"/>
    <col min="8" max="8" width="9.5703125" customWidth="1"/>
    <col min="9" max="9" width="1.7109375" customWidth="1"/>
    <col min="10" max="14" width="5.7109375" customWidth="1"/>
    <col min="15" max="15" width="7.28515625" customWidth="1"/>
    <col min="16" max="16" width="11" customWidth="1"/>
    <col min="17" max="17" width="2.7109375" customWidth="1"/>
    <col min="18" max="21" width="5.7109375" customWidth="1"/>
    <col min="22" max="22" width="10.140625" customWidth="1"/>
    <col min="23" max="25" width="5.7109375" customWidth="1"/>
    <col min="26" max="26" width="1.7109375" customWidth="1"/>
    <col min="27" max="27" width="5.7109375" customWidth="1"/>
    <col min="28" max="28" width="1.7109375" customWidth="1"/>
    <col min="29" max="29" width="7.140625" customWidth="1"/>
    <col min="30" max="31" width="5.7109375" customWidth="1"/>
    <col min="32" max="32" width="4.7109375" customWidth="1"/>
  </cols>
  <sheetData>
    <row r="1" spans="1:29" ht="27.95" customHeight="1">
      <c r="A1" s="143" t="s">
        <v>260</v>
      </c>
      <c r="B1" s="143"/>
      <c r="C1" s="143"/>
      <c r="D1" s="143"/>
      <c r="E1" s="144"/>
      <c r="F1" s="144"/>
      <c r="G1" s="148" t="s">
        <v>261</v>
      </c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15"/>
      <c r="X1" s="115"/>
      <c r="Y1" s="115"/>
      <c r="Z1" s="115"/>
      <c r="AA1" s="135"/>
      <c r="AB1" s="115"/>
      <c r="AC1" s="115"/>
    </row>
    <row r="2" spans="1:29" ht="18" customHeight="1">
      <c r="A2" s="145" t="s">
        <v>262</v>
      </c>
      <c r="B2" s="145"/>
      <c r="C2" s="145"/>
      <c r="D2" s="145"/>
      <c r="E2" s="146"/>
      <c r="F2" s="146"/>
      <c r="G2" s="120"/>
      <c r="H2" s="120"/>
      <c r="I2" s="120"/>
      <c r="J2" s="139" t="s">
        <v>263</v>
      </c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20"/>
      <c r="V2" s="99"/>
      <c r="W2" s="99"/>
      <c r="X2" s="99"/>
      <c r="Y2" s="99"/>
      <c r="Z2" s="166" t="s">
        <v>264</v>
      </c>
      <c r="AA2" s="166"/>
      <c r="AB2" s="166"/>
      <c r="AC2" s="166"/>
    </row>
    <row r="3" spans="1:29" ht="14.1" customHeight="1">
      <c r="A3" s="147"/>
      <c r="B3" s="147"/>
      <c r="C3" s="147"/>
      <c r="D3" s="147"/>
      <c r="E3" s="147"/>
      <c r="F3" s="147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"/>
      <c r="T3" s="115"/>
      <c r="U3" s="115"/>
      <c r="V3" s="99"/>
      <c r="W3" s="99"/>
      <c r="X3" s="99"/>
      <c r="Y3" s="3"/>
      <c r="Z3" s="170"/>
      <c r="AA3" s="170"/>
      <c r="AB3" s="170"/>
      <c r="AC3" s="170"/>
    </row>
    <row r="4" spans="1:29" ht="12" customHeight="1">
      <c r="A4" s="99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2"/>
      <c r="T4" s="115"/>
      <c r="U4" s="115"/>
      <c r="V4" s="99"/>
      <c r="W4" s="99"/>
      <c r="X4" s="99"/>
      <c r="Y4" s="3" t="s">
        <v>265</v>
      </c>
      <c r="Z4" s="3"/>
      <c r="AA4" s="3" t="s">
        <v>266</v>
      </c>
      <c r="AB4" s="3"/>
      <c r="AC4" s="124" t="s">
        <v>267</v>
      </c>
    </row>
    <row r="5" spans="1:29" ht="20.100000000000001" customHeight="1">
      <c r="A5" s="99"/>
      <c r="B5" s="152" t="s">
        <v>268</v>
      </c>
      <c r="C5" s="160"/>
      <c r="D5" s="161" t="s">
        <v>269</v>
      </c>
      <c r="E5" s="161"/>
      <c r="F5" s="115"/>
      <c r="G5" s="115"/>
      <c r="H5" s="152" t="s">
        <v>270</v>
      </c>
      <c r="I5" s="152"/>
      <c r="J5" s="152"/>
      <c r="K5" s="162" t="s">
        <v>271</v>
      </c>
      <c r="L5" s="162"/>
      <c r="M5" s="120"/>
      <c r="N5" s="152" t="s">
        <v>272</v>
      </c>
      <c r="O5" s="152"/>
      <c r="P5" s="161" t="s">
        <v>273</v>
      </c>
      <c r="Q5" s="161"/>
      <c r="R5" s="161"/>
      <c r="S5" s="131"/>
      <c r="T5" s="150" t="s">
        <v>274</v>
      </c>
      <c r="U5" s="151"/>
      <c r="V5" s="151"/>
      <c r="W5" s="151"/>
      <c r="X5" s="151"/>
      <c r="Y5" s="100" t="s">
        <v>275</v>
      </c>
      <c r="Z5" s="131" t="s">
        <v>276</v>
      </c>
      <c r="AA5" s="86" t="s">
        <v>277</v>
      </c>
      <c r="AB5" s="20" t="s">
        <v>276</v>
      </c>
      <c r="AC5" s="87" t="s">
        <v>278</v>
      </c>
    </row>
    <row r="6" spans="1:29" ht="12" customHeight="1">
      <c r="A6" s="99"/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4"/>
      <c r="M6" s="4"/>
      <c r="N6" s="3"/>
      <c r="O6" s="115"/>
      <c r="P6" s="115"/>
      <c r="Q6" s="115"/>
      <c r="R6" s="115"/>
      <c r="S6" s="157" t="s">
        <v>279</v>
      </c>
      <c r="T6" s="157"/>
      <c r="U6" s="157"/>
      <c r="V6" s="157"/>
      <c r="W6" s="99"/>
      <c r="X6" s="157" t="s">
        <v>280</v>
      </c>
      <c r="Y6" s="157"/>
      <c r="Z6" s="157"/>
      <c r="AA6" s="157"/>
      <c r="AB6" s="157"/>
      <c r="AC6" s="157"/>
    </row>
    <row r="7" spans="1:29" ht="20.100000000000001" customHeight="1">
      <c r="A7" s="152" t="s">
        <v>281</v>
      </c>
      <c r="B7" s="153"/>
      <c r="C7" s="153"/>
      <c r="D7" s="16" t="s">
        <v>282</v>
      </c>
      <c r="E7" s="169" t="s">
        <v>283</v>
      </c>
      <c r="F7" s="169"/>
      <c r="G7" s="9"/>
      <c r="H7" s="167" t="s">
        <v>284</v>
      </c>
      <c r="I7" s="168"/>
      <c r="J7" s="168"/>
      <c r="K7" s="169" t="s">
        <v>285</v>
      </c>
      <c r="L7" s="169"/>
      <c r="M7" s="169"/>
      <c r="N7" s="169"/>
      <c r="O7" s="169"/>
      <c r="P7" s="152" t="s">
        <v>286</v>
      </c>
      <c r="Q7" s="152"/>
      <c r="R7" s="152"/>
      <c r="S7" s="162" t="s">
        <v>287</v>
      </c>
      <c r="T7" s="173"/>
      <c r="U7" s="173"/>
      <c r="V7" s="173"/>
      <c r="W7" s="115"/>
      <c r="X7" s="158" t="s">
        <v>288</v>
      </c>
      <c r="Y7" s="158"/>
      <c r="Z7" s="158"/>
      <c r="AA7" s="158"/>
      <c r="AB7" s="158"/>
      <c r="AC7" s="158"/>
    </row>
    <row r="8" spans="1:29" ht="15.95" customHeight="1">
      <c r="A8" s="99"/>
      <c r="B8" s="115"/>
      <c r="C8" s="115"/>
      <c r="D8" s="115"/>
      <c r="E8" s="155" t="s">
        <v>289</v>
      </c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14" t="s">
        <v>290</v>
      </c>
      <c r="Q8" s="115"/>
      <c r="R8" s="115"/>
      <c r="S8" s="115"/>
      <c r="T8" s="115"/>
      <c r="U8" s="99"/>
      <c r="V8" s="99"/>
      <c r="W8" s="99"/>
      <c r="X8" s="99"/>
      <c r="Y8" s="99"/>
      <c r="Z8" s="99"/>
      <c r="AA8" s="99"/>
      <c r="AB8" s="99"/>
      <c r="AC8" s="99"/>
    </row>
    <row r="9" spans="1:29" ht="15.95" customHeight="1">
      <c r="A9" s="154" t="s">
        <v>291</v>
      </c>
      <c r="B9" s="159"/>
      <c r="C9" s="159"/>
      <c r="D9" s="158" t="s">
        <v>292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4" t="s">
        <v>293</v>
      </c>
      <c r="Q9" s="142"/>
      <c r="R9" s="142"/>
      <c r="S9" s="176" t="s">
        <v>294</v>
      </c>
      <c r="T9" s="158"/>
      <c r="U9" s="158"/>
      <c r="V9" s="158"/>
      <c r="W9" s="158"/>
      <c r="X9" s="158"/>
      <c r="Y9" s="158"/>
      <c r="Z9" s="158"/>
      <c r="AA9" s="158"/>
      <c r="AB9" s="158"/>
      <c r="AC9" s="158"/>
    </row>
    <row r="10" spans="1:29" ht="3.95" customHeight="1">
      <c r="A10" s="99"/>
      <c r="B10" s="115"/>
      <c r="C10" s="115"/>
      <c r="D10" s="117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15"/>
      <c r="Q10" s="115"/>
      <c r="R10" s="115"/>
      <c r="S10" s="117"/>
      <c r="T10" s="127"/>
      <c r="U10" s="117"/>
      <c r="V10" s="117"/>
      <c r="W10" s="117"/>
      <c r="X10" s="117"/>
      <c r="Y10" s="117"/>
      <c r="Z10" s="117"/>
      <c r="AA10" s="117"/>
      <c r="AB10" s="117"/>
      <c r="AC10" s="117"/>
    </row>
    <row r="11" spans="1:29" ht="15.95" customHeight="1">
      <c r="A11" s="140" t="s">
        <v>295</v>
      </c>
      <c r="B11" s="140"/>
      <c r="C11" s="140"/>
      <c r="D11" s="156" t="s">
        <v>296</v>
      </c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40" t="s">
        <v>297</v>
      </c>
      <c r="Q11" s="140"/>
      <c r="R11" s="140"/>
      <c r="S11" s="156" t="s">
        <v>298</v>
      </c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 spans="1:29" ht="3.95" customHeight="1">
      <c r="A12" s="11"/>
      <c r="B12" s="10"/>
      <c r="C12" s="10"/>
      <c r="D12" s="117"/>
      <c r="E12" s="175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0"/>
      <c r="Q12" s="10"/>
      <c r="R12" s="10"/>
      <c r="S12" s="117"/>
      <c r="T12" s="127"/>
      <c r="U12" s="117"/>
      <c r="V12" s="117"/>
      <c r="W12" s="117"/>
      <c r="X12" s="117"/>
      <c r="Y12" s="117"/>
      <c r="Z12" s="117"/>
      <c r="AA12" s="117"/>
      <c r="AB12" s="117"/>
      <c r="AC12" s="117"/>
    </row>
    <row r="13" spans="1:29" ht="15.95" customHeight="1">
      <c r="A13" s="140" t="s">
        <v>299</v>
      </c>
      <c r="B13" s="140"/>
      <c r="C13" s="140"/>
      <c r="D13" s="156" t="s">
        <v>300</v>
      </c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40" t="s">
        <v>301</v>
      </c>
      <c r="Q13" s="140"/>
      <c r="R13" s="140"/>
      <c r="S13" s="156" t="s">
        <v>302</v>
      </c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spans="1:29" ht="15.95" customHeight="1">
      <c r="A14" s="99"/>
      <c r="B14" s="3"/>
      <c r="C14" s="3"/>
      <c r="D14" s="115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15"/>
      <c r="Q14" s="115"/>
      <c r="R14" s="115"/>
      <c r="S14" s="115"/>
      <c r="T14" s="115"/>
      <c r="U14" s="99"/>
      <c r="V14" s="99"/>
      <c r="W14" s="99"/>
      <c r="X14" s="99"/>
      <c r="Y14" s="99"/>
      <c r="Z14" s="99"/>
      <c r="AA14" s="99"/>
      <c r="AB14" s="99"/>
      <c r="AC14" s="99"/>
    </row>
    <row r="15" spans="1:29" ht="15.95" customHeight="1">
      <c r="A15" s="141" t="s">
        <v>303</v>
      </c>
      <c r="B15" s="141"/>
      <c r="C15" s="141"/>
      <c r="D15" s="141"/>
      <c r="E15" s="158" t="s">
        <v>304</v>
      </c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209" t="s">
        <v>305</v>
      </c>
      <c r="T15" s="209"/>
      <c r="U15" s="209"/>
      <c r="V15" s="209"/>
      <c r="W15" s="209"/>
      <c r="X15" s="178"/>
      <c r="Y15" s="178"/>
      <c r="Z15" s="178"/>
      <c r="AA15" s="178"/>
      <c r="AB15" s="178"/>
      <c r="AC15" s="178"/>
    </row>
    <row r="16" spans="1:29" ht="15.95" customHeight="1">
      <c r="A16" s="99"/>
      <c r="B16" s="3"/>
      <c r="C16" s="3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99"/>
      <c r="V16" s="99"/>
      <c r="W16" s="99"/>
      <c r="X16" s="99"/>
      <c r="Y16" s="99"/>
      <c r="Z16" s="99"/>
      <c r="AA16" s="99"/>
      <c r="AB16" s="99"/>
      <c r="AC16" s="99"/>
    </row>
    <row r="17" spans="1:30" ht="15.95" customHeight="1">
      <c r="A17" s="99"/>
      <c r="B17" s="115"/>
      <c r="C17" s="115"/>
      <c r="D17" s="3"/>
      <c r="E17" s="189" t="s">
        <v>306</v>
      </c>
      <c r="F17" s="146"/>
      <c r="G17" s="146"/>
      <c r="H17" s="146"/>
      <c r="I17" s="115"/>
      <c r="J17" s="3" t="s">
        <v>307</v>
      </c>
      <c r="K17" s="115"/>
      <c r="L17" s="115"/>
      <c r="M17" s="115"/>
      <c r="N17" s="189" t="s">
        <v>308</v>
      </c>
      <c r="O17" s="189"/>
      <c r="P17" s="189"/>
      <c r="Q17" s="115"/>
      <c r="R17" s="3" t="s">
        <v>309</v>
      </c>
      <c r="S17" s="3"/>
      <c r="T17" s="115"/>
      <c r="U17" s="115"/>
      <c r="V17" s="99"/>
      <c r="W17" s="3" t="s">
        <v>310</v>
      </c>
      <c r="X17" s="3"/>
      <c r="Y17" s="99"/>
      <c r="Z17" s="99"/>
      <c r="AA17" s="99"/>
      <c r="AB17" s="99"/>
      <c r="AC17" s="99"/>
      <c r="AD17" s="99"/>
    </row>
    <row r="18" spans="1:30" ht="15.95" customHeight="1">
      <c r="A18" s="141" t="s">
        <v>311</v>
      </c>
      <c r="B18" s="141"/>
      <c r="C18" s="142" t="s">
        <v>312</v>
      </c>
      <c r="D18" s="142"/>
      <c r="E18" s="177" t="s">
        <v>313</v>
      </c>
      <c r="F18" s="177"/>
      <c r="G18" s="177"/>
      <c r="H18" s="177"/>
      <c r="I18" s="17"/>
      <c r="J18" s="118" t="s">
        <v>314</v>
      </c>
      <c r="K18" s="122"/>
      <c r="L18" s="142" t="s">
        <v>315</v>
      </c>
      <c r="M18" s="142"/>
      <c r="N18" s="177" t="s">
        <v>316</v>
      </c>
      <c r="O18" s="177"/>
      <c r="P18" s="177"/>
      <c r="Q18" s="17"/>
      <c r="R18" s="118" t="s">
        <v>317</v>
      </c>
      <c r="S18" s="123"/>
      <c r="T18" s="142" t="s">
        <v>318</v>
      </c>
      <c r="U18" s="142"/>
      <c r="V18" s="88" t="s">
        <v>319</v>
      </c>
      <c r="W18" s="118" t="s">
        <v>320</v>
      </c>
      <c r="X18" s="142" t="s">
        <v>321</v>
      </c>
      <c r="Y18" s="142"/>
      <c r="Z18" s="113"/>
      <c r="AA18" s="171" t="s">
        <v>322</v>
      </c>
      <c r="AB18" s="171"/>
      <c r="AC18" s="171"/>
      <c r="AD18" s="99"/>
    </row>
    <row r="19" spans="1:30" ht="15.95" customHeight="1">
      <c r="A19" s="99"/>
      <c r="B19" s="115"/>
      <c r="C19" s="115"/>
      <c r="D19" s="115"/>
      <c r="E19" s="115"/>
      <c r="F19" s="115"/>
      <c r="G19" s="115"/>
      <c r="H19" s="3" t="s">
        <v>323</v>
      </c>
      <c r="I19" s="3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79"/>
      <c r="U19" s="181"/>
      <c r="V19" s="181"/>
      <c r="W19" s="181"/>
      <c r="X19" s="181"/>
      <c r="Y19" s="181"/>
      <c r="Z19" s="181"/>
      <c r="AA19" s="181"/>
      <c r="AB19" s="181"/>
      <c r="AC19" s="181"/>
      <c r="AD19" s="99"/>
    </row>
    <row r="20" spans="1:30" ht="15.95" customHeight="1">
      <c r="A20" s="141" t="s">
        <v>324</v>
      </c>
      <c r="B20" s="141"/>
      <c r="C20" s="142" t="s">
        <v>325</v>
      </c>
      <c r="D20" s="142"/>
      <c r="E20" s="188" t="s">
        <v>326</v>
      </c>
      <c r="F20" s="188"/>
      <c r="G20" s="104"/>
      <c r="H20" s="118" t="s">
        <v>327</v>
      </c>
      <c r="I20" s="126"/>
      <c r="J20" s="142" t="s">
        <v>328</v>
      </c>
      <c r="K20" s="142"/>
      <c r="L20" s="125" t="s">
        <v>329</v>
      </c>
      <c r="M20" s="142" t="s">
        <v>330</v>
      </c>
      <c r="N20" s="142"/>
      <c r="O20" s="142"/>
      <c r="P20" s="125"/>
      <c r="Q20" s="17"/>
      <c r="R20" s="142" t="s">
        <v>331</v>
      </c>
      <c r="S20" s="142"/>
      <c r="T20" s="158" t="s">
        <v>332</v>
      </c>
      <c r="U20" s="158"/>
      <c r="V20" s="158"/>
      <c r="W20" s="158"/>
      <c r="X20" s="158"/>
      <c r="Y20" s="158"/>
      <c r="Z20" s="158"/>
      <c r="AA20" s="158"/>
      <c r="AB20" s="158"/>
      <c r="AC20" s="158"/>
      <c r="AD20" s="99"/>
    </row>
    <row r="21" spans="1:30" ht="15.95" customHeight="1">
      <c r="A21" s="141"/>
      <c r="B21" s="141"/>
      <c r="C21" s="99"/>
      <c r="D21" s="99"/>
      <c r="E21" s="210"/>
      <c r="F21" s="210"/>
      <c r="G21" s="115"/>
      <c r="H21" s="115"/>
      <c r="I21" s="115"/>
      <c r="J21" s="115"/>
      <c r="K21" s="115"/>
      <c r="L21" s="115"/>
      <c r="M21" s="115"/>
      <c r="N21" s="115"/>
      <c r="O21" s="179"/>
      <c r="P21" s="181"/>
      <c r="Q21" s="181"/>
      <c r="R21" s="181"/>
      <c r="S21" s="181"/>
      <c r="T21" s="181"/>
      <c r="U21" s="181"/>
      <c r="V21" s="181"/>
      <c r="W21" s="99"/>
      <c r="X21" s="99"/>
      <c r="Y21" s="99"/>
      <c r="Z21" s="99"/>
      <c r="AA21" s="99"/>
      <c r="AB21" s="99"/>
      <c r="AC21" s="99"/>
      <c r="AD21" s="99"/>
    </row>
    <row r="22" spans="1:30" ht="15.95" customHeight="1">
      <c r="A22" s="141" t="s">
        <v>333</v>
      </c>
      <c r="B22" s="141"/>
      <c r="C22" s="190" t="s">
        <v>334</v>
      </c>
      <c r="D22" s="190"/>
      <c r="E22" s="190"/>
      <c r="F22" s="190"/>
      <c r="G22" s="190"/>
      <c r="H22" s="190"/>
      <c r="I22" s="190"/>
      <c r="J22" s="190"/>
      <c r="K22" s="190"/>
      <c r="L22" s="126"/>
      <c r="M22" s="154" t="s">
        <v>335</v>
      </c>
      <c r="N22" s="154"/>
      <c r="O22" s="158" t="s">
        <v>336</v>
      </c>
      <c r="P22" s="158"/>
      <c r="Q22" s="158"/>
      <c r="R22" s="158"/>
      <c r="S22" s="158"/>
      <c r="T22" s="158"/>
      <c r="U22" s="158"/>
      <c r="V22" s="158"/>
      <c r="W22" s="180" t="s">
        <v>337</v>
      </c>
      <c r="X22" s="180"/>
      <c r="Y22" s="180"/>
      <c r="Z22" s="180"/>
      <c r="AA22" s="158" t="s">
        <v>338</v>
      </c>
      <c r="AB22" s="158"/>
      <c r="AC22" s="158"/>
      <c r="AD22" s="99"/>
    </row>
    <row r="23" spans="1:30" ht="15.95" customHeight="1">
      <c r="A23" s="141" t="s">
        <v>339</v>
      </c>
      <c r="B23" s="141"/>
      <c r="C23" s="19"/>
      <c r="D23" s="99"/>
      <c r="E23" s="184" t="s">
        <v>340</v>
      </c>
      <c r="F23" s="184"/>
      <c r="G23" s="184"/>
      <c r="H23" s="184"/>
      <c r="I23" s="184"/>
      <c r="J23" s="105"/>
      <c r="K23" s="105"/>
      <c r="L23" s="154" t="s">
        <v>341</v>
      </c>
      <c r="M23" s="155"/>
      <c r="N23" s="155"/>
      <c r="O23" s="163" t="s">
        <v>342</v>
      </c>
      <c r="P23" s="164"/>
      <c r="Q23" s="164"/>
      <c r="R23" s="164"/>
      <c r="S23" s="164"/>
      <c r="T23" s="164"/>
      <c r="U23" s="35"/>
      <c r="V23" s="54" t="str">
        <f>IF(LEFT(_CamFormat,3)="AAV","Use Camera Delay Applied in PE/Delay  below","")</f>
        <v/>
      </c>
      <c r="W23" s="99"/>
      <c r="X23" s="99"/>
      <c r="Y23" s="99"/>
      <c r="Z23" s="99"/>
      <c r="AA23" s="99"/>
      <c r="AB23" s="99"/>
      <c r="AC23" s="99"/>
      <c r="AD23" s="99"/>
    </row>
    <row r="24" spans="1:30" ht="15.95" customHeight="1">
      <c r="A24" s="191" t="s">
        <v>343</v>
      </c>
      <c r="B24" s="191"/>
      <c r="C24" s="191"/>
      <c r="D24" s="191"/>
      <c r="E24" s="191"/>
      <c r="F24" s="191"/>
      <c r="G24" s="191"/>
      <c r="H24" s="191"/>
      <c r="I24" s="191"/>
      <c r="J24" s="191"/>
      <c r="K24" s="35" t="s">
        <v>344</v>
      </c>
      <c r="L24" s="115"/>
      <c r="M24" s="115"/>
      <c r="N24" s="99"/>
      <c r="O24" s="27" t="s">
        <v>345</v>
      </c>
      <c r="P24" s="99"/>
      <c r="Q24" s="99"/>
      <c r="R24" s="99"/>
      <c r="S24" s="99"/>
      <c r="T24" s="99"/>
      <c r="U24" s="99"/>
      <c r="V24" s="57" t="s">
        <v>346</v>
      </c>
      <c r="W24" s="99"/>
      <c r="X24" s="99"/>
      <c r="Y24" s="99"/>
      <c r="Z24" s="99"/>
      <c r="AA24" s="99"/>
      <c r="AB24" s="99"/>
      <c r="AC24" s="99"/>
      <c r="AD24" s="99"/>
    </row>
    <row r="25" spans="1:30" ht="15.95" customHeight="1">
      <c r="A25" s="141" t="s">
        <v>347</v>
      </c>
      <c r="B25" s="141"/>
      <c r="C25" s="99" t="s">
        <v>348</v>
      </c>
      <c r="D25" s="99"/>
      <c r="E25" s="193" t="s">
        <v>349</v>
      </c>
      <c r="F25" s="193"/>
      <c r="G25" s="193"/>
      <c r="H25" s="193"/>
      <c r="I25" s="193"/>
      <c r="J25" s="115"/>
      <c r="K25" s="27" t="s">
        <v>350</v>
      </c>
      <c r="L25" s="192" t="s">
        <v>351</v>
      </c>
      <c r="M25" s="192"/>
      <c r="N25" s="142" t="s">
        <v>352</v>
      </c>
      <c r="O25" s="142"/>
      <c r="P25" s="89" t="s">
        <v>353</v>
      </c>
      <c r="Q25" s="99"/>
      <c r="R25" s="27" t="s">
        <v>354</v>
      </c>
      <c r="S25" s="171" t="s">
        <v>355</v>
      </c>
      <c r="T25" s="171"/>
      <c r="U25" s="27"/>
      <c r="V25" s="187" t="s">
        <v>356</v>
      </c>
      <c r="W25" s="187"/>
      <c r="X25" s="187"/>
      <c r="Y25" s="187"/>
      <c r="Z25" s="187"/>
      <c r="AA25" s="187"/>
      <c r="AB25" s="187"/>
      <c r="AC25" s="187"/>
      <c r="AD25" s="30"/>
    </row>
    <row r="26" spans="1:30" ht="15.9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65" t="s">
        <v>357</v>
      </c>
      <c r="L26" s="165"/>
      <c r="M26" s="165"/>
      <c r="N26" s="165"/>
      <c r="O26" s="165"/>
      <c r="P26" s="83" t="s">
        <v>358</v>
      </c>
      <c r="Q26" s="182" t="s">
        <v>359</v>
      </c>
      <c r="R26" s="183"/>
      <c r="S26" s="183"/>
      <c r="T26" s="183"/>
      <c r="U26" s="183"/>
      <c r="V26" s="85" t="s">
        <v>360</v>
      </c>
      <c r="W26" s="99" t="s">
        <v>361</v>
      </c>
      <c r="X26" s="99" t="s">
        <v>362</v>
      </c>
      <c r="Y26" s="99"/>
      <c r="Z26" s="99"/>
      <c r="AA26" s="99"/>
      <c r="AB26" s="27"/>
      <c r="AC26" s="84" t="s">
        <v>363</v>
      </c>
      <c r="AD26" s="99"/>
    </row>
    <row r="27" spans="1:30" ht="15.95" customHeight="1">
      <c r="A27" s="139" t="s">
        <v>364</v>
      </c>
      <c r="B27" s="139"/>
      <c r="C27" s="126"/>
      <c r="D27" s="142" t="s">
        <v>365</v>
      </c>
      <c r="E27" s="142"/>
      <c r="F27" s="142"/>
      <c r="G27" s="142"/>
      <c r="H27" s="158" t="s">
        <v>185</v>
      </c>
      <c r="I27" s="158"/>
      <c r="J27" s="158"/>
      <c r="K27" s="158"/>
      <c r="L27" s="126"/>
      <c r="M27" s="142" t="s">
        <v>366</v>
      </c>
      <c r="N27" s="142"/>
      <c r="O27" s="142"/>
      <c r="P27" s="158"/>
      <c r="Q27" s="158"/>
      <c r="R27" s="158"/>
      <c r="S27" s="158"/>
      <c r="T27" s="126"/>
      <c r="U27" s="166" t="s">
        <v>367</v>
      </c>
      <c r="V27" s="166"/>
      <c r="W27" s="166"/>
      <c r="X27" s="158"/>
      <c r="Y27" s="158"/>
      <c r="Z27" s="158"/>
      <c r="AA27" s="158"/>
      <c r="AB27" s="158"/>
      <c r="AC27" s="158"/>
      <c r="AD27" s="99"/>
    </row>
    <row r="28" spans="1:30" ht="15.95" customHeight="1">
      <c r="A28" s="99"/>
      <c r="B28" s="6"/>
      <c r="C28" s="115"/>
      <c r="D28" s="115"/>
      <c r="E28" s="115"/>
      <c r="F28" s="99"/>
      <c r="G28" s="99"/>
      <c r="H28" s="99"/>
      <c r="I28" s="99"/>
      <c r="J28" s="99"/>
      <c r="K28" s="99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99"/>
    </row>
    <row r="29" spans="1:30" ht="15.95" customHeight="1">
      <c r="A29" s="141" t="s">
        <v>368</v>
      </c>
      <c r="B29" s="141"/>
      <c r="C29" s="141"/>
      <c r="D29" s="185" t="s">
        <v>369</v>
      </c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99"/>
    </row>
    <row r="30" spans="1:30" ht="15.95" customHeight="1">
      <c r="A30" s="99"/>
      <c r="B30" s="115"/>
      <c r="C30" s="115"/>
      <c r="D30" s="115"/>
      <c r="E30" s="115"/>
      <c r="F30" s="179" t="s">
        <v>370</v>
      </c>
      <c r="G30" s="179"/>
      <c r="H30" s="179"/>
      <c r="I30" s="179"/>
      <c r="J30" s="179"/>
      <c r="K30" s="179"/>
      <c r="L30" s="115"/>
      <c r="M30" s="170" t="s">
        <v>371</v>
      </c>
      <c r="N30" s="170"/>
      <c r="O30" s="119" t="s">
        <v>372</v>
      </c>
      <c r="P30" s="170" t="s">
        <v>373</v>
      </c>
      <c r="Q30" s="179"/>
      <c r="R30" s="179"/>
      <c r="S30" s="179"/>
      <c r="T30" s="179"/>
      <c r="U30" s="211" t="s">
        <v>374</v>
      </c>
      <c r="V30" s="211"/>
      <c r="W30" s="211"/>
      <c r="X30" s="211"/>
      <c r="Y30" s="211"/>
      <c r="Z30" s="211"/>
      <c r="AA30" s="211"/>
      <c r="AB30" s="211"/>
      <c r="AC30" s="211"/>
      <c r="AD30" s="99"/>
    </row>
    <row r="31" spans="1:30" ht="15.95" customHeight="1">
      <c r="A31" s="142" t="s">
        <v>375</v>
      </c>
      <c r="B31" s="142"/>
      <c r="C31" s="142"/>
      <c r="D31" s="142"/>
      <c r="E31" s="142"/>
      <c r="F31" s="90" t="s">
        <v>376</v>
      </c>
      <c r="G31" s="20" t="s">
        <v>276</v>
      </c>
      <c r="H31" s="91" t="s">
        <v>377</v>
      </c>
      <c r="I31" s="20" t="s">
        <v>276</v>
      </c>
      <c r="J31" s="212" t="s">
        <v>378</v>
      </c>
      <c r="K31" s="212"/>
      <c r="L31" s="18"/>
      <c r="M31" s="19"/>
      <c r="N31" s="19"/>
      <c r="O31" s="19"/>
      <c r="P31" s="99"/>
      <c r="Q31" s="19"/>
      <c r="R31" s="19"/>
      <c r="S31" s="19"/>
      <c r="T31" s="17"/>
      <c r="U31" s="201"/>
      <c r="V31" s="201"/>
      <c r="W31" s="201"/>
      <c r="X31" s="201"/>
      <c r="Y31" s="201"/>
      <c r="Z31" s="201"/>
      <c r="AA31" s="201"/>
      <c r="AB31" s="201"/>
      <c r="AC31" s="201"/>
      <c r="AD31" s="99"/>
    </row>
    <row r="32" spans="1:30" ht="15.95" customHeight="1">
      <c r="A32" s="142" t="s">
        <v>379</v>
      </c>
      <c r="B32" s="159"/>
      <c r="C32" s="159"/>
      <c r="D32" s="159"/>
      <c r="E32" s="159"/>
      <c r="F32" s="23"/>
      <c r="G32" s="20" t="s">
        <v>276</v>
      </c>
      <c r="H32" s="24"/>
      <c r="I32" s="20" t="s">
        <v>276</v>
      </c>
      <c r="J32" s="172"/>
      <c r="K32" s="172"/>
      <c r="L32" s="18"/>
      <c r="M32" s="19"/>
      <c r="N32" s="19"/>
      <c r="O32" s="19"/>
      <c r="P32" s="19"/>
      <c r="Q32" s="19"/>
      <c r="R32" s="19"/>
      <c r="S32" s="19"/>
      <c r="T32" s="17"/>
      <c r="U32" s="201"/>
      <c r="V32" s="201"/>
      <c r="W32" s="201"/>
      <c r="X32" s="201"/>
      <c r="Y32" s="201"/>
      <c r="Z32" s="201"/>
      <c r="AA32" s="201"/>
      <c r="AB32" s="201"/>
      <c r="AC32" s="201"/>
      <c r="AD32" s="99"/>
    </row>
    <row r="33" spans="1:29" ht="15.95" customHeight="1">
      <c r="A33" s="154" t="s">
        <v>380</v>
      </c>
      <c r="B33" s="159"/>
      <c r="C33" s="159"/>
      <c r="D33" s="159"/>
      <c r="E33" s="159"/>
      <c r="F33" s="94" t="s">
        <v>381</v>
      </c>
      <c r="G33" s="20" t="s">
        <v>276</v>
      </c>
      <c r="H33" s="95" t="s">
        <v>382</v>
      </c>
      <c r="I33" s="20" t="s">
        <v>276</v>
      </c>
      <c r="J33" s="174" t="s">
        <v>383</v>
      </c>
      <c r="K33" s="174"/>
      <c r="L33" s="18"/>
      <c r="M33" s="200" t="s">
        <v>384</v>
      </c>
      <c r="N33" s="200"/>
      <c r="O33" s="98"/>
      <c r="P33" s="202"/>
      <c r="Q33" s="203"/>
      <c r="R33" s="203"/>
      <c r="S33" s="203"/>
      <c r="T33" s="203"/>
      <c r="U33" s="201"/>
      <c r="V33" s="201"/>
      <c r="W33" s="201"/>
      <c r="X33" s="201"/>
      <c r="Y33" s="201"/>
      <c r="Z33" s="201"/>
      <c r="AA33" s="201"/>
      <c r="AB33" s="201"/>
      <c r="AC33" s="201"/>
    </row>
    <row r="34" spans="1:29" ht="15.95" customHeight="1">
      <c r="A34" s="142" t="s">
        <v>385</v>
      </c>
      <c r="B34" s="159"/>
      <c r="C34" s="159"/>
      <c r="D34" s="159"/>
      <c r="E34" s="159"/>
      <c r="F34" s="23"/>
      <c r="G34" s="20" t="s">
        <v>276</v>
      </c>
      <c r="H34" s="24"/>
      <c r="I34" s="20" t="s">
        <v>276</v>
      </c>
      <c r="J34" s="172"/>
      <c r="K34" s="172"/>
      <c r="L34" s="18"/>
      <c r="M34" s="99"/>
      <c r="N34" s="99"/>
      <c r="O34" s="99"/>
      <c r="P34" s="19"/>
      <c r="Q34" s="19"/>
      <c r="R34" s="19"/>
      <c r="S34" s="19"/>
      <c r="T34" s="17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15.95" customHeight="1">
      <c r="A35" s="154" t="s">
        <v>386</v>
      </c>
      <c r="B35" s="159"/>
      <c r="C35" s="159"/>
      <c r="D35" s="159"/>
      <c r="E35" s="159"/>
      <c r="F35" s="96" t="s">
        <v>387</v>
      </c>
      <c r="G35" s="20" t="s">
        <v>276</v>
      </c>
      <c r="H35" s="97" t="s">
        <v>388</v>
      </c>
      <c r="I35" s="20" t="s">
        <v>276</v>
      </c>
      <c r="J35" s="194" t="s">
        <v>389</v>
      </c>
      <c r="K35" s="194"/>
      <c r="L35" s="18"/>
      <c r="M35" s="205" t="s">
        <v>390</v>
      </c>
      <c r="N35" s="205"/>
      <c r="O35" s="98"/>
      <c r="P35" s="202"/>
      <c r="Q35" s="203"/>
      <c r="R35" s="203"/>
      <c r="S35" s="203"/>
      <c r="T35" s="203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15.95" customHeight="1">
      <c r="A36" s="142" t="s">
        <v>391</v>
      </c>
      <c r="B36" s="159"/>
      <c r="C36" s="159"/>
      <c r="D36" s="159"/>
      <c r="E36" s="159"/>
      <c r="F36" s="23"/>
      <c r="G36" s="20" t="s">
        <v>276</v>
      </c>
      <c r="H36" s="24"/>
      <c r="I36" s="20" t="s">
        <v>276</v>
      </c>
      <c r="J36" s="172"/>
      <c r="K36" s="172"/>
      <c r="L36" s="18"/>
      <c r="M36" s="19"/>
      <c r="N36" s="19"/>
      <c r="O36" s="19"/>
      <c r="P36" s="19"/>
      <c r="Q36" s="19"/>
      <c r="R36" s="19"/>
      <c r="S36" s="19"/>
      <c r="T36" s="17"/>
      <c r="U36" s="201"/>
      <c r="V36" s="201"/>
      <c r="W36" s="201"/>
      <c r="X36" s="201"/>
      <c r="Y36" s="201"/>
      <c r="Z36" s="201"/>
      <c r="AA36" s="201"/>
      <c r="AB36" s="201"/>
      <c r="AC36" s="201"/>
    </row>
    <row r="37" spans="1:29" ht="15.95" customHeight="1">
      <c r="A37" s="142" t="s">
        <v>392</v>
      </c>
      <c r="B37" s="159"/>
      <c r="C37" s="159"/>
      <c r="D37" s="159"/>
      <c r="E37" s="159"/>
      <c r="F37" s="92" t="s">
        <v>393</v>
      </c>
      <c r="G37" s="20" t="s">
        <v>276</v>
      </c>
      <c r="H37" s="93" t="s">
        <v>394</v>
      </c>
      <c r="I37" s="20" t="s">
        <v>276</v>
      </c>
      <c r="J37" s="204" t="s">
        <v>395</v>
      </c>
      <c r="K37" s="204"/>
      <c r="L37" s="18"/>
      <c r="M37" s="19"/>
      <c r="N37" s="19"/>
      <c r="O37" s="19"/>
      <c r="P37" s="19"/>
      <c r="Q37" s="19"/>
      <c r="R37" s="19"/>
      <c r="S37" s="19"/>
      <c r="T37" s="17"/>
      <c r="U37" s="201"/>
      <c r="V37" s="201"/>
      <c r="W37" s="201"/>
      <c r="X37" s="201"/>
      <c r="Y37" s="201"/>
      <c r="Z37" s="201"/>
      <c r="AA37" s="201"/>
      <c r="AB37" s="201"/>
      <c r="AC37" s="201"/>
    </row>
    <row r="38" spans="1:29" ht="15.95" customHeight="1">
      <c r="A38" s="99"/>
      <c r="B38" s="115"/>
      <c r="C38" s="115"/>
      <c r="D38" s="115"/>
      <c r="E38" s="115"/>
      <c r="F38" s="12" t="s">
        <v>396</v>
      </c>
      <c r="G38" s="115"/>
      <c r="H38" s="7" t="s">
        <v>266</v>
      </c>
      <c r="I38" s="7"/>
      <c r="J38" s="207" t="s">
        <v>397</v>
      </c>
      <c r="K38" s="196"/>
      <c r="L38" s="3"/>
      <c r="M38" s="115"/>
      <c r="N38" s="115"/>
      <c r="O38" s="5"/>
      <c r="P38" s="5"/>
      <c r="Q38" s="5"/>
      <c r="R38" s="115"/>
      <c r="S38" s="115"/>
      <c r="T38" s="115"/>
      <c r="U38" s="115"/>
      <c r="V38" s="99"/>
      <c r="W38" s="208" t="s">
        <v>398</v>
      </c>
      <c r="X38" s="146"/>
      <c r="Y38" s="43" t="s">
        <v>399</v>
      </c>
      <c r="Z38" s="44"/>
      <c r="AA38" s="45"/>
      <c r="AB38" s="99"/>
      <c r="AC38" s="99"/>
    </row>
    <row r="39" spans="1:29" ht="15.95" customHeight="1">
      <c r="A39" s="99"/>
      <c r="B39" s="115"/>
      <c r="C39" s="115"/>
      <c r="D39" s="115"/>
      <c r="E39" s="115"/>
      <c r="F39" s="115"/>
      <c r="G39" s="115"/>
      <c r="H39" s="7"/>
      <c r="I39" s="7"/>
      <c r="J39" s="7"/>
      <c r="K39" s="3"/>
      <c r="L39" s="3"/>
      <c r="M39" s="115"/>
      <c r="N39" s="115"/>
      <c r="O39" s="5"/>
      <c r="P39" s="5"/>
      <c r="Q39" s="5"/>
      <c r="R39" s="115"/>
      <c r="S39" s="115"/>
      <c r="T39" s="115"/>
      <c r="U39" s="115"/>
      <c r="V39" s="99"/>
      <c r="W39" s="99"/>
      <c r="X39" s="99"/>
      <c r="Y39" s="99"/>
      <c r="Z39" s="99"/>
      <c r="AA39" s="99"/>
      <c r="AB39" s="99"/>
      <c r="AC39" s="99"/>
    </row>
    <row r="40" spans="1:29" ht="15.95" customHeight="1">
      <c r="A40" s="19"/>
      <c r="B40" s="126"/>
      <c r="C40" s="120"/>
      <c r="D40" s="106" t="s">
        <v>400</v>
      </c>
      <c r="E40" s="206" t="s">
        <v>401</v>
      </c>
      <c r="F40" s="206"/>
      <c r="G40" s="206"/>
      <c r="H40" s="18" t="s">
        <v>402</v>
      </c>
      <c r="I40" s="99"/>
      <c r="J40" s="99"/>
      <c r="K40" s="99"/>
      <c r="L40" s="99"/>
      <c r="M40" s="99"/>
      <c r="N40" s="8"/>
      <c r="O40" s="120"/>
      <c r="P40" s="46"/>
      <c r="Q40" s="122"/>
      <c r="R40" s="122"/>
      <c r="S40" s="122"/>
      <c r="T40" s="122"/>
      <c r="U40" s="154" t="s">
        <v>403</v>
      </c>
      <c r="V40" s="155"/>
      <c r="W40" s="198" t="s">
        <v>404</v>
      </c>
      <c r="X40" s="198"/>
      <c r="Y40" s="196" t="s">
        <v>405</v>
      </c>
      <c r="Z40" s="197"/>
      <c r="AA40" s="197"/>
      <c r="AB40" s="197"/>
      <c r="AC40" s="197"/>
    </row>
    <row r="41" spans="1:29" ht="15.95" customHeight="1">
      <c r="A41" s="99"/>
      <c r="B41" s="115"/>
      <c r="C41" s="115"/>
      <c r="D41" s="115"/>
      <c r="E41" s="199" t="s">
        <v>406</v>
      </c>
      <c r="F41" s="199"/>
      <c r="G41" s="122"/>
      <c r="H41" s="115"/>
      <c r="I41" s="115"/>
      <c r="J41" s="115"/>
      <c r="K41" s="199"/>
      <c r="L41" s="178"/>
      <c r="M41" s="115"/>
      <c r="N41" s="115"/>
      <c r="O41" s="115"/>
      <c r="P41" s="115"/>
      <c r="Q41" s="115"/>
      <c r="R41" s="115"/>
      <c r="S41" s="131"/>
      <c r="T41" s="115"/>
      <c r="U41" s="115"/>
      <c r="V41" s="99"/>
      <c r="W41" s="99"/>
      <c r="X41" s="99"/>
      <c r="Y41" s="99"/>
      <c r="Z41" s="99"/>
      <c r="AA41" s="99"/>
      <c r="AB41" s="99"/>
      <c r="AC41" s="99"/>
    </row>
    <row r="42" spans="1:29" ht="24" customHeight="1">
      <c r="A42" s="195" t="s">
        <v>407</v>
      </c>
      <c r="B42" s="195"/>
      <c r="C42" s="195"/>
      <c r="D42" s="21" t="s">
        <v>408</v>
      </c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29" ht="24" customHeight="1">
      <c r="A43" s="195" t="s">
        <v>409</v>
      </c>
      <c r="B43" s="195"/>
      <c r="C43" s="195"/>
      <c r="D43" s="21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ht="24" customHeight="1">
      <c r="A44" s="99"/>
      <c r="B44" s="99"/>
      <c r="C44" s="99"/>
      <c r="D44" s="21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pans="1:29" ht="24" customHeight="1">
      <c r="A45" s="99"/>
      <c r="B45" s="99"/>
      <c r="C45" s="99"/>
      <c r="D45" s="120"/>
      <c r="E45" s="131"/>
      <c r="F45" s="131"/>
      <c r="G45" s="131"/>
      <c r="H45" s="131"/>
      <c r="I45" s="131"/>
      <c r="J45" s="131"/>
      <c r="K45" s="131"/>
      <c r="L45" s="126"/>
      <c r="M45" s="126"/>
      <c r="N45" s="126"/>
      <c r="O45" s="126"/>
      <c r="P45" s="126" t="s">
        <v>410</v>
      </c>
      <c r="Q45" s="126"/>
      <c r="R45" s="126"/>
      <c r="S45" s="126"/>
      <c r="T45" s="126"/>
      <c r="U45" s="131"/>
      <c r="V45" s="131"/>
      <c r="W45" s="131"/>
      <c r="X45" s="131"/>
      <c r="Y45" s="131"/>
      <c r="Z45" s="131"/>
      <c r="AA45" s="131"/>
      <c r="AB45" s="131"/>
      <c r="AC45" s="131"/>
    </row>
    <row r="46" spans="1:29" ht="15.9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19"/>
      <c r="L46" s="99"/>
      <c r="M46" s="19"/>
      <c r="N46" s="19" t="s">
        <v>411</v>
      </c>
      <c r="O46" s="19"/>
      <c r="P46" s="19"/>
      <c r="Q46" s="19"/>
      <c r="R46" s="19"/>
      <c r="S46" s="19"/>
      <c r="T46" s="82" t="str">
        <f>IF(RIO="Yes","and to Felipe Braga Ribas [ribas@on.br]","")</f>
        <v/>
      </c>
      <c r="U46" s="99"/>
      <c r="V46" s="99"/>
      <c r="W46" s="99"/>
      <c r="X46" s="99"/>
      <c r="Y46" s="99"/>
      <c r="Z46" s="99"/>
      <c r="AA46" s="99"/>
      <c r="AB46" s="99"/>
      <c r="AC46" s="99"/>
    </row>
    <row r="47" spans="1:29" ht="15.9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19"/>
      <c r="L47" s="99"/>
      <c r="M47" s="19"/>
      <c r="N47" s="19"/>
      <c r="O47" s="19"/>
      <c r="P47" s="19"/>
      <c r="Q47" s="19"/>
      <c r="R47" s="19"/>
      <c r="S47" s="19"/>
      <c r="T47" s="82"/>
      <c r="U47" s="99"/>
      <c r="V47" s="99"/>
      <c r="W47" s="99"/>
      <c r="X47" s="99"/>
      <c r="Y47" s="99"/>
      <c r="Z47" s="99"/>
      <c r="AA47" s="99"/>
      <c r="AB47" s="99"/>
      <c r="AC47" s="99"/>
    </row>
    <row r="48" spans="1:29" ht="15.95" customHeight="1">
      <c r="A48" s="99"/>
      <c r="B48" s="99"/>
      <c r="C48" s="99"/>
      <c r="D48" s="138" t="s">
        <v>412</v>
      </c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95" customHeight="1"/>
  </sheetData>
  <sheetProtection formatRows="0"/>
  <mergeCells count="131">
    <mergeCell ref="M27:O27"/>
    <mergeCell ref="D27:G27"/>
    <mergeCell ref="W38:X38"/>
    <mergeCell ref="T19:AC19"/>
    <mergeCell ref="A15:D15"/>
    <mergeCell ref="N17:P17"/>
    <mergeCell ref="E15:R15"/>
    <mergeCell ref="S15:AC15"/>
    <mergeCell ref="T18:U18"/>
    <mergeCell ref="E18:H18"/>
    <mergeCell ref="AA18:AC18"/>
    <mergeCell ref="X18:Y18"/>
    <mergeCell ref="E21:F21"/>
    <mergeCell ref="J20:K20"/>
    <mergeCell ref="N25:O25"/>
    <mergeCell ref="F30:K30"/>
    <mergeCell ref="P30:T30"/>
    <mergeCell ref="U32:AC32"/>
    <mergeCell ref="J32:K32"/>
    <mergeCell ref="U31:AC31"/>
    <mergeCell ref="U30:AC30"/>
    <mergeCell ref="J31:K31"/>
    <mergeCell ref="M30:N30"/>
    <mergeCell ref="A31:E31"/>
    <mergeCell ref="J35:K35"/>
    <mergeCell ref="A27:B27"/>
    <mergeCell ref="A43:C43"/>
    <mergeCell ref="A42:C42"/>
    <mergeCell ref="Y40:AC40"/>
    <mergeCell ref="U40:V40"/>
    <mergeCell ref="W40:X40"/>
    <mergeCell ref="K41:L41"/>
    <mergeCell ref="E41:F41"/>
    <mergeCell ref="M33:N33"/>
    <mergeCell ref="U36:AC36"/>
    <mergeCell ref="U35:AC35"/>
    <mergeCell ref="P35:T35"/>
    <mergeCell ref="A37:E37"/>
    <mergeCell ref="J37:K37"/>
    <mergeCell ref="A33:E33"/>
    <mergeCell ref="J36:K36"/>
    <mergeCell ref="U37:AC37"/>
    <mergeCell ref="M35:N35"/>
    <mergeCell ref="U33:AC33"/>
    <mergeCell ref="P33:T33"/>
    <mergeCell ref="U34:AC34"/>
    <mergeCell ref="E40:G40"/>
    <mergeCell ref="J38:K38"/>
    <mergeCell ref="A36:E36"/>
    <mergeCell ref="A35:E35"/>
    <mergeCell ref="P13:R13"/>
    <mergeCell ref="R20:S20"/>
    <mergeCell ref="O21:V21"/>
    <mergeCell ref="L18:M18"/>
    <mergeCell ref="Q26:U26"/>
    <mergeCell ref="A23:B23"/>
    <mergeCell ref="E23:I23"/>
    <mergeCell ref="D29:AC29"/>
    <mergeCell ref="A32:E32"/>
    <mergeCell ref="V25:AC25"/>
    <mergeCell ref="E20:F20"/>
    <mergeCell ref="E17:H17"/>
    <mergeCell ref="A22:B22"/>
    <mergeCell ref="A21:B21"/>
    <mergeCell ref="X27:AC27"/>
    <mergeCell ref="P27:S27"/>
    <mergeCell ref="U27:W27"/>
    <mergeCell ref="C22:K22"/>
    <mergeCell ref="A24:J24"/>
    <mergeCell ref="H27:K27"/>
    <mergeCell ref="L25:M25"/>
    <mergeCell ref="E25:I25"/>
    <mergeCell ref="A25:B25"/>
    <mergeCell ref="S25:T25"/>
    <mergeCell ref="J34:K34"/>
    <mergeCell ref="H5:J5"/>
    <mergeCell ref="X6:AC6"/>
    <mergeCell ref="X7:AC7"/>
    <mergeCell ref="S7:V7"/>
    <mergeCell ref="S11:AC11"/>
    <mergeCell ref="A34:E34"/>
    <mergeCell ref="J33:K33"/>
    <mergeCell ref="A29:C29"/>
    <mergeCell ref="P7:R7"/>
    <mergeCell ref="E10:O10"/>
    <mergeCell ref="S9:AC9"/>
    <mergeCell ref="M20:O20"/>
    <mergeCell ref="M22:N22"/>
    <mergeCell ref="O22:V22"/>
    <mergeCell ref="N18:P18"/>
    <mergeCell ref="E12:O12"/>
    <mergeCell ref="E14:O14"/>
    <mergeCell ref="AA22:AC22"/>
    <mergeCell ref="W22:Z22"/>
    <mergeCell ref="T20:AC20"/>
    <mergeCell ref="P11:R11"/>
    <mergeCell ref="S13:AC13"/>
    <mergeCell ref="K26:O26"/>
    <mergeCell ref="Z2:AC2"/>
    <mergeCell ref="J2:T2"/>
    <mergeCell ref="H7:J7"/>
    <mergeCell ref="E8:O8"/>
    <mergeCell ref="K7:O7"/>
    <mergeCell ref="P5:R5"/>
    <mergeCell ref="N5:O5"/>
    <mergeCell ref="Z3:AC3"/>
    <mergeCell ref="E7:F7"/>
    <mergeCell ref="D48:AC48"/>
    <mergeCell ref="A11:C11"/>
    <mergeCell ref="A20:B20"/>
    <mergeCell ref="C18:D18"/>
    <mergeCell ref="A18:B18"/>
    <mergeCell ref="A1:F1"/>
    <mergeCell ref="A2:F2"/>
    <mergeCell ref="A3:F3"/>
    <mergeCell ref="G1:V1"/>
    <mergeCell ref="T5:X5"/>
    <mergeCell ref="A7:C7"/>
    <mergeCell ref="A13:C13"/>
    <mergeCell ref="C20:D20"/>
    <mergeCell ref="L23:N23"/>
    <mergeCell ref="D11:O11"/>
    <mergeCell ref="S6:V6"/>
    <mergeCell ref="P9:R9"/>
    <mergeCell ref="D9:O9"/>
    <mergeCell ref="D13:O13"/>
    <mergeCell ref="A9:C9"/>
    <mergeCell ref="B5:C5"/>
    <mergeCell ref="D5:E5"/>
    <mergeCell ref="K5:L5"/>
    <mergeCell ref="O23:T23"/>
  </mergeCells>
  <phoneticPr fontId="2" type="noConversion"/>
  <conditionalFormatting sqref="A2:F2">
    <cfRule type="expression" dxfId="2" priority="3" stopIfTrue="1">
      <formula>$A$2="Unsure"</formula>
    </cfRule>
    <cfRule type="expression" dxfId="1" priority="4" stopIfTrue="1">
      <formula>$A$2="Positive"</formula>
    </cfRule>
  </conditionalFormatting>
  <conditionalFormatting sqref="AC26">
    <cfRule type="expression" dxfId="0" priority="1" stopIfTrue="1">
      <formula>$AC$26="maybe"</formula>
    </cfRule>
  </conditionalFormatting>
  <dataValidations xWindow="948" yWindow="464" count="1">
    <dataValidation allowBlank="1" showInputMessage="1" showErrorMessage="1" sqref="A1:XFD1048576" xr:uid="{1342E492-D99E-4C2A-B0E7-04A1F4F6E930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076D-659C-4E39-8DC7-7BAD187C9554}">
  <sheetPr codeName="Sheet4"/>
  <dimension ref="A1:N58"/>
  <sheetViews>
    <sheetView showGridLines="0" workbookViewId="0">
      <selection activeCell="A20" sqref="A20"/>
    </sheetView>
  </sheetViews>
  <sheetFormatPr defaultRowHeight="13.15"/>
  <sheetData>
    <row r="1" spans="1:14" ht="24" customHeight="1">
      <c r="A1" s="139" t="s">
        <v>413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</row>
    <row r="4" spans="1:14" ht="15.95" customHeight="1">
      <c r="A4" s="213" t="s">
        <v>414</v>
      </c>
      <c r="B4" s="213"/>
      <c r="C4" s="213"/>
      <c r="D4" s="213"/>
      <c r="E4" s="99"/>
      <c r="F4" s="213" t="s">
        <v>415</v>
      </c>
      <c r="G4" s="213"/>
      <c r="H4" s="213"/>
      <c r="I4" s="213"/>
      <c r="J4" s="99"/>
      <c r="K4" s="213" t="s">
        <v>416</v>
      </c>
      <c r="L4" s="213"/>
      <c r="M4" s="213"/>
      <c r="N4" s="213"/>
    </row>
    <row r="5" spans="1:14" ht="15.95" customHeight="1">
      <c r="A5" s="213" t="s">
        <v>417</v>
      </c>
      <c r="B5" s="179"/>
      <c r="C5" s="179"/>
      <c r="D5" s="179"/>
      <c r="E5" s="99"/>
      <c r="F5" s="99"/>
      <c r="G5" s="99"/>
      <c r="H5" s="99"/>
      <c r="I5" s="99"/>
      <c r="J5" s="99"/>
      <c r="K5" s="99"/>
      <c r="L5" s="99"/>
      <c r="M5" s="99"/>
      <c r="N5" s="99"/>
    </row>
    <row r="6" spans="1:14">
      <c r="A6" s="215" t="s">
        <v>215</v>
      </c>
      <c r="B6" s="215"/>
      <c r="C6" s="215"/>
      <c r="D6" s="215"/>
      <c r="E6" s="99"/>
      <c r="F6" s="214" t="s">
        <v>220</v>
      </c>
      <c r="G6" s="214"/>
      <c r="H6" s="214"/>
      <c r="I6" s="214"/>
      <c r="J6" s="99"/>
      <c r="K6" s="214" t="s">
        <v>163</v>
      </c>
      <c r="L6" s="214"/>
      <c r="M6" s="214"/>
      <c r="N6" s="214"/>
    </row>
    <row r="7" spans="1:14">
      <c r="A7" s="215" t="s">
        <v>218</v>
      </c>
      <c r="B7" s="215"/>
      <c r="C7" s="215"/>
      <c r="D7" s="215"/>
      <c r="E7" s="99"/>
      <c r="F7" s="214" t="s">
        <v>217</v>
      </c>
      <c r="G7" s="214"/>
      <c r="H7" s="214"/>
      <c r="I7" s="214"/>
      <c r="J7" s="99"/>
      <c r="K7" s="214" t="s">
        <v>252</v>
      </c>
      <c r="L7" s="214"/>
      <c r="M7" s="214"/>
      <c r="N7" s="214"/>
    </row>
    <row r="8" spans="1:14">
      <c r="A8" s="215" t="s">
        <v>221</v>
      </c>
      <c r="B8" s="215"/>
      <c r="C8" s="215"/>
      <c r="D8" s="215"/>
      <c r="E8" s="99"/>
      <c r="F8" s="214" t="s">
        <v>224</v>
      </c>
      <c r="G8" s="214"/>
      <c r="H8" s="214"/>
      <c r="I8" s="214"/>
      <c r="J8" s="99"/>
      <c r="K8" s="214" t="s">
        <v>253</v>
      </c>
      <c r="L8" s="214"/>
      <c r="M8" s="214"/>
      <c r="N8" s="214"/>
    </row>
    <row r="9" spans="1:14">
      <c r="A9" s="215" t="s">
        <v>225</v>
      </c>
      <c r="B9" s="215"/>
      <c r="C9" s="215"/>
      <c r="D9" s="215"/>
      <c r="E9" s="99"/>
      <c r="F9" s="214" t="s">
        <v>229</v>
      </c>
      <c r="G9" s="214"/>
      <c r="H9" s="214"/>
      <c r="I9" s="214"/>
      <c r="J9" s="99"/>
      <c r="K9" s="214" t="s">
        <v>254</v>
      </c>
      <c r="L9" s="214"/>
      <c r="M9" s="214"/>
      <c r="N9" s="214"/>
    </row>
    <row r="10" spans="1:14">
      <c r="A10" s="215" t="s">
        <v>229</v>
      </c>
      <c r="B10" s="215"/>
      <c r="C10" s="215"/>
      <c r="D10" s="215"/>
      <c r="E10" s="99"/>
      <c r="F10" s="99"/>
      <c r="G10" s="99"/>
      <c r="H10" s="99"/>
      <c r="I10" s="99"/>
      <c r="J10" s="99"/>
      <c r="K10" s="214" t="s">
        <v>255</v>
      </c>
      <c r="L10" s="214"/>
      <c r="M10" s="214"/>
      <c r="N10" s="214"/>
    </row>
    <row r="11" spans="1:14">
      <c r="A11" s="99"/>
      <c r="B11" s="99"/>
      <c r="C11" s="99"/>
      <c r="D11" s="99"/>
      <c r="E11" s="99"/>
      <c r="F11" s="99"/>
      <c r="G11" s="99"/>
      <c r="H11" s="99"/>
      <c r="I11" s="99"/>
      <c r="J11" s="99"/>
      <c r="K11" s="214" t="s">
        <v>256</v>
      </c>
      <c r="L11" s="214"/>
      <c r="M11" s="214"/>
      <c r="N11" s="214"/>
    </row>
    <row r="12" spans="1:14">
      <c r="A12" s="99"/>
      <c r="B12" s="99"/>
      <c r="C12" s="99"/>
      <c r="D12" s="99"/>
      <c r="E12" s="99"/>
      <c r="F12" s="99"/>
      <c r="G12" s="99"/>
      <c r="H12" s="99"/>
      <c r="I12" s="99"/>
      <c r="J12" s="99"/>
      <c r="K12" s="214" t="s">
        <v>257</v>
      </c>
      <c r="L12" s="214"/>
      <c r="M12" s="214"/>
      <c r="N12" s="214"/>
    </row>
    <row r="13" spans="1:14">
      <c r="A13" s="99"/>
      <c r="B13" s="99"/>
      <c r="C13" s="99"/>
      <c r="D13" s="99"/>
      <c r="E13" s="99"/>
      <c r="F13" s="99"/>
      <c r="G13" s="99"/>
      <c r="H13" s="99"/>
      <c r="I13" s="99"/>
      <c r="J13" s="99"/>
      <c r="K13" s="214" t="s">
        <v>258</v>
      </c>
      <c r="L13" s="214"/>
      <c r="M13" s="214"/>
      <c r="N13" s="214"/>
    </row>
    <row r="14" spans="1:14">
      <c r="A14" s="99"/>
      <c r="B14" s="99"/>
      <c r="C14" s="99"/>
      <c r="D14" s="99"/>
      <c r="E14" s="99"/>
      <c r="F14" s="99"/>
      <c r="G14" s="99"/>
      <c r="H14" s="99"/>
      <c r="I14" s="99"/>
      <c r="J14" s="99"/>
      <c r="K14" s="214" t="s">
        <v>227</v>
      </c>
      <c r="L14" s="214"/>
      <c r="M14" s="214"/>
      <c r="N14" s="214"/>
    </row>
    <row r="15" spans="1:14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214" t="s">
        <v>259</v>
      </c>
      <c r="L15" s="214"/>
      <c r="M15" s="214"/>
      <c r="N15" s="214"/>
    </row>
    <row r="16" spans="1:14">
      <c r="A16" s="99"/>
      <c r="B16" s="99"/>
      <c r="C16" s="99"/>
      <c r="D16" s="99"/>
      <c r="E16" s="99"/>
      <c r="F16" s="99"/>
      <c r="G16" s="99"/>
      <c r="H16" s="99"/>
      <c r="I16" s="99"/>
      <c r="J16" s="99"/>
      <c r="K16" s="214" t="s">
        <v>229</v>
      </c>
      <c r="L16" s="214"/>
      <c r="M16" s="214"/>
      <c r="N16" s="214"/>
    </row>
    <row r="17" spans="1:14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132"/>
      <c r="L17" s="132"/>
      <c r="M17" s="132"/>
      <c r="N17" s="132"/>
    </row>
    <row r="18" spans="1:14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214"/>
      <c r="L18" s="214"/>
      <c r="M18" s="214"/>
      <c r="N18" s="214"/>
    </row>
    <row r="19" spans="1:14" ht="15.95" customHeight="1">
      <c r="A19" s="213" t="s">
        <v>418</v>
      </c>
      <c r="B19" s="213"/>
      <c r="C19" s="213"/>
      <c r="D19" s="213"/>
      <c r="E19" s="99"/>
      <c r="F19" s="213" t="s">
        <v>419</v>
      </c>
      <c r="G19" s="213"/>
      <c r="H19" s="213"/>
      <c r="I19" s="213"/>
      <c r="J19" s="99"/>
      <c r="K19" s="213" t="s">
        <v>420</v>
      </c>
      <c r="L19" s="213"/>
      <c r="M19" s="213"/>
      <c r="N19" s="213"/>
    </row>
    <row r="20" spans="1:14">
      <c r="A20" s="99"/>
      <c r="B20" s="99"/>
      <c r="C20" s="99"/>
      <c r="D20" s="99"/>
      <c r="E20" s="99"/>
      <c r="F20" s="216" t="s">
        <v>421</v>
      </c>
      <c r="G20" s="216"/>
      <c r="H20" s="216"/>
      <c r="I20" s="216"/>
      <c r="J20" s="99"/>
      <c r="K20" s="214" t="s">
        <v>214</v>
      </c>
      <c r="L20" s="214"/>
      <c r="M20" s="214"/>
      <c r="N20" s="214"/>
    </row>
    <row r="21" spans="1:14">
      <c r="A21" s="214" t="s">
        <v>216</v>
      </c>
      <c r="B21" s="214"/>
      <c r="C21" s="214"/>
      <c r="D21" s="214"/>
      <c r="E21" s="99"/>
      <c r="F21" s="216" t="s">
        <v>422</v>
      </c>
      <c r="G21" s="216"/>
      <c r="H21" s="216"/>
      <c r="I21" s="216"/>
      <c r="J21" s="99"/>
      <c r="K21" s="214" t="s">
        <v>213</v>
      </c>
      <c r="L21" s="214"/>
      <c r="M21" s="214"/>
      <c r="N21" s="214"/>
    </row>
    <row r="22" spans="1:14">
      <c r="A22" s="214" t="s">
        <v>219</v>
      </c>
      <c r="B22" s="214"/>
      <c r="C22" s="214"/>
      <c r="D22" s="214"/>
      <c r="E22" s="99"/>
      <c r="F22" s="214"/>
      <c r="G22" s="214"/>
      <c r="H22" s="214"/>
      <c r="I22" s="214"/>
      <c r="J22" s="99"/>
      <c r="K22" s="214" t="s">
        <v>223</v>
      </c>
      <c r="L22" s="214"/>
      <c r="M22" s="214"/>
      <c r="N22" s="214"/>
    </row>
    <row r="23" spans="1:14">
      <c r="A23" s="214" t="s">
        <v>222</v>
      </c>
      <c r="B23" s="214"/>
      <c r="C23" s="214"/>
      <c r="D23" s="214"/>
      <c r="E23" s="99"/>
      <c r="F23" s="217" t="s">
        <v>423</v>
      </c>
      <c r="G23" s="217"/>
      <c r="H23" s="217"/>
      <c r="I23" s="217"/>
      <c r="J23" s="99"/>
      <c r="K23" s="214" t="s">
        <v>227</v>
      </c>
      <c r="L23" s="214"/>
      <c r="M23" s="214"/>
      <c r="N23" s="214"/>
    </row>
    <row r="24" spans="1:14">
      <c r="A24" s="214" t="s">
        <v>226</v>
      </c>
      <c r="B24" s="214"/>
      <c r="C24" s="214"/>
      <c r="D24" s="214"/>
      <c r="E24" s="99"/>
      <c r="F24" s="217"/>
      <c r="G24" s="217"/>
      <c r="H24" s="217"/>
      <c r="I24" s="217"/>
      <c r="J24" s="99"/>
      <c r="K24" s="214" t="s">
        <v>231</v>
      </c>
      <c r="L24" s="214"/>
      <c r="M24" s="214"/>
      <c r="N24" s="214"/>
    </row>
    <row r="25" spans="1:14">
      <c r="A25" s="214" t="s">
        <v>230</v>
      </c>
      <c r="B25" s="214"/>
      <c r="C25" s="214"/>
      <c r="D25" s="214"/>
      <c r="E25" s="99"/>
      <c r="F25" s="133" t="s">
        <v>424</v>
      </c>
      <c r="G25" s="133"/>
      <c r="H25" s="133"/>
      <c r="I25" s="133"/>
      <c r="J25" s="99"/>
      <c r="K25" s="214" t="s">
        <v>235</v>
      </c>
      <c r="L25" s="214"/>
      <c r="M25" s="214"/>
      <c r="N25" s="214"/>
    </row>
    <row r="26" spans="1:14">
      <c r="A26" s="214" t="s">
        <v>232</v>
      </c>
      <c r="B26" s="214"/>
      <c r="C26" s="214"/>
      <c r="D26" s="214"/>
      <c r="E26" s="99"/>
      <c r="F26" s="133" t="s">
        <v>425</v>
      </c>
      <c r="G26" s="133"/>
      <c r="H26" s="133"/>
      <c r="I26" s="133"/>
      <c r="J26" s="99"/>
      <c r="K26" s="99"/>
      <c r="L26" s="99"/>
      <c r="M26" s="99"/>
      <c r="N26" s="99"/>
    </row>
    <row r="27" spans="1:14">
      <c r="A27" s="214" t="s">
        <v>234</v>
      </c>
      <c r="B27" s="214"/>
      <c r="C27" s="214"/>
      <c r="D27" s="214"/>
      <c r="E27" s="99"/>
      <c r="F27" s="133"/>
      <c r="G27" s="133"/>
      <c r="H27" s="133"/>
      <c r="I27" s="133"/>
      <c r="J27" s="99"/>
      <c r="K27" s="99"/>
      <c r="L27" s="99"/>
      <c r="M27" s="99"/>
      <c r="N27" s="99"/>
    </row>
    <row r="28" spans="1:14">
      <c r="A28" s="214" t="s">
        <v>236</v>
      </c>
      <c r="B28" s="214"/>
      <c r="C28" s="214"/>
      <c r="D28" s="214"/>
      <c r="E28" s="99"/>
      <c r="F28" s="133" t="s">
        <v>426</v>
      </c>
      <c r="G28" s="133"/>
      <c r="H28" s="133"/>
      <c r="I28" s="133"/>
      <c r="J28" s="99"/>
      <c r="K28" s="99"/>
      <c r="L28" s="99"/>
      <c r="M28" s="99"/>
      <c r="N28" s="99"/>
    </row>
    <row r="29" spans="1:14">
      <c r="A29" s="214" t="s">
        <v>237</v>
      </c>
      <c r="B29" s="214"/>
      <c r="C29" s="214"/>
      <c r="D29" s="214"/>
      <c r="E29" s="99"/>
      <c r="F29" s="133" t="s">
        <v>427</v>
      </c>
      <c r="G29" s="133"/>
      <c r="H29" s="133"/>
      <c r="I29" s="133"/>
      <c r="J29" s="99"/>
      <c r="K29" s="99"/>
      <c r="L29" s="99"/>
      <c r="M29" s="99"/>
      <c r="N29" s="99"/>
    </row>
    <row r="30" spans="1:14">
      <c r="A30" s="214" t="s">
        <v>238</v>
      </c>
      <c r="B30" s="214"/>
      <c r="C30" s="214"/>
      <c r="D30" s="214"/>
      <c r="E30" s="99"/>
      <c r="F30" s="133"/>
      <c r="G30" s="133"/>
      <c r="H30" s="133"/>
      <c r="I30" s="133"/>
      <c r="J30" s="99"/>
      <c r="K30" s="99"/>
      <c r="L30" s="99"/>
      <c r="M30" s="99"/>
      <c r="N30" s="99"/>
    </row>
    <row r="31" spans="1:14">
      <c r="A31" s="214" t="s">
        <v>239</v>
      </c>
      <c r="B31" s="214"/>
      <c r="C31" s="214"/>
      <c r="D31" s="214"/>
      <c r="E31" s="99"/>
      <c r="F31" s="133" t="s">
        <v>428</v>
      </c>
      <c r="G31" s="133"/>
      <c r="H31" s="133"/>
      <c r="I31" s="133"/>
      <c r="J31" s="99"/>
      <c r="K31" s="99"/>
      <c r="L31" s="99"/>
      <c r="M31" s="99"/>
      <c r="N31" s="99"/>
    </row>
    <row r="32" spans="1:14">
      <c r="A32" s="214" t="s">
        <v>240</v>
      </c>
      <c r="B32" s="214"/>
      <c r="C32" s="214"/>
      <c r="D32" s="214"/>
      <c r="E32" s="99"/>
      <c r="F32" s="133" t="s">
        <v>429</v>
      </c>
      <c r="G32" s="133"/>
      <c r="H32" s="133"/>
      <c r="I32" s="133"/>
      <c r="J32" s="99"/>
      <c r="K32" s="99"/>
      <c r="L32" s="99"/>
      <c r="M32" s="99"/>
      <c r="N32" s="99"/>
    </row>
    <row r="33" spans="1:9">
      <c r="A33" s="214" t="s">
        <v>240</v>
      </c>
      <c r="B33" s="214"/>
      <c r="C33" s="214"/>
      <c r="D33" s="214"/>
      <c r="E33" s="99"/>
      <c r="F33" s="133"/>
      <c r="G33" s="133"/>
      <c r="H33" s="133"/>
      <c r="I33" s="133"/>
    </row>
    <row r="34" spans="1:9">
      <c r="A34" s="214" t="s">
        <v>241</v>
      </c>
      <c r="B34" s="214"/>
      <c r="C34" s="214"/>
      <c r="D34" s="214"/>
      <c r="E34" s="99"/>
      <c r="F34" s="133" t="s">
        <v>423</v>
      </c>
      <c r="G34" s="133"/>
      <c r="H34" s="133"/>
      <c r="I34" s="133"/>
    </row>
    <row r="35" spans="1:9">
      <c r="A35" s="214" t="s">
        <v>242</v>
      </c>
      <c r="B35" s="214"/>
      <c r="C35" s="214"/>
      <c r="D35" s="214"/>
      <c r="E35" s="99"/>
      <c r="F35" s="133" t="s">
        <v>430</v>
      </c>
      <c r="G35" s="133"/>
      <c r="H35" s="133"/>
      <c r="I35" s="133"/>
    </row>
    <row r="36" spans="1:9">
      <c r="A36" s="214" t="s">
        <v>243</v>
      </c>
      <c r="B36" s="214"/>
      <c r="C36" s="214"/>
      <c r="D36" s="214"/>
      <c r="E36" s="99"/>
      <c r="F36" s="133"/>
      <c r="G36" s="133"/>
      <c r="H36" s="133"/>
      <c r="I36" s="133"/>
    </row>
    <row r="37" spans="1:9">
      <c r="A37" s="214" t="s">
        <v>244</v>
      </c>
      <c r="B37" s="214"/>
      <c r="C37" s="214"/>
      <c r="D37" s="214"/>
      <c r="E37" s="99"/>
      <c r="F37" s="133" t="s">
        <v>431</v>
      </c>
      <c r="G37" s="133"/>
      <c r="H37" s="133"/>
      <c r="I37" s="133"/>
    </row>
    <row r="38" spans="1:9">
      <c r="A38" s="214" t="s">
        <v>245</v>
      </c>
      <c r="B38" s="214"/>
      <c r="C38" s="214"/>
      <c r="D38" s="214"/>
      <c r="E38" s="99"/>
      <c r="F38" s="133"/>
      <c r="G38" s="133"/>
      <c r="H38" s="133"/>
      <c r="I38" s="133"/>
    </row>
    <row r="39" spans="1:9">
      <c r="A39" s="214" t="s">
        <v>246</v>
      </c>
      <c r="B39" s="214"/>
      <c r="C39" s="214"/>
      <c r="D39" s="214"/>
      <c r="E39" s="99"/>
      <c r="F39" s="133" t="s">
        <v>432</v>
      </c>
      <c r="G39" s="133"/>
      <c r="H39" s="133"/>
      <c r="I39" s="133"/>
    </row>
    <row r="40" spans="1:9">
      <c r="A40" s="214" t="s">
        <v>247</v>
      </c>
      <c r="B40" s="214"/>
      <c r="C40" s="214"/>
      <c r="D40" s="214"/>
      <c r="E40" s="99"/>
      <c r="F40" s="217"/>
      <c r="G40" s="217"/>
      <c r="H40" s="217"/>
      <c r="I40" s="217"/>
    </row>
    <row r="41" spans="1:9">
      <c r="A41" s="214" t="s">
        <v>248</v>
      </c>
      <c r="B41" s="214"/>
      <c r="C41" s="214"/>
      <c r="D41" s="214"/>
      <c r="E41" s="99"/>
      <c r="F41" s="217" t="s">
        <v>433</v>
      </c>
      <c r="G41" s="217"/>
      <c r="H41" s="217"/>
      <c r="I41" s="217"/>
    </row>
    <row r="42" spans="1:9">
      <c r="A42" s="214" t="s">
        <v>249</v>
      </c>
      <c r="B42" s="214"/>
      <c r="C42" s="214"/>
      <c r="D42" s="214"/>
      <c r="E42" s="99"/>
      <c r="F42" s="214"/>
      <c r="G42" s="214"/>
      <c r="H42" s="214"/>
      <c r="I42" s="214"/>
    </row>
    <row r="43" spans="1:9">
      <c r="A43" s="214" t="s">
        <v>251</v>
      </c>
      <c r="B43" s="214"/>
      <c r="C43" s="214"/>
      <c r="D43" s="214"/>
      <c r="E43" s="99"/>
      <c r="F43" s="99"/>
      <c r="G43" s="99"/>
      <c r="H43" s="99"/>
      <c r="I43" s="99"/>
    </row>
    <row r="44" spans="1:9">
      <c r="A44" s="214"/>
      <c r="B44" s="214"/>
      <c r="C44" s="214"/>
      <c r="D44" s="214"/>
      <c r="E44" s="99"/>
      <c r="F44" s="99"/>
      <c r="G44" s="99"/>
      <c r="H44" s="99"/>
      <c r="I44" s="99"/>
    </row>
    <row r="45" spans="1:9">
      <c r="A45" s="214"/>
      <c r="B45" s="214"/>
      <c r="C45" s="214"/>
      <c r="D45" s="214"/>
      <c r="E45" s="99"/>
      <c r="F45" s="99"/>
      <c r="G45" s="99"/>
      <c r="H45" s="99"/>
      <c r="I45" s="99"/>
    </row>
    <row r="46" spans="1:9">
      <c r="A46" s="214"/>
      <c r="B46" s="214"/>
      <c r="C46" s="214"/>
      <c r="D46" s="214"/>
      <c r="E46" s="99"/>
      <c r="F46" s="99"/>
      <c r="G46" s="99"/>
      <c r="H46" s="99"/>
      <c r="I46" s="99"/>
    </row>
    <row r="47" spans="1:9">
      <c r="A47" s="214"/>
      <c r="B47" s="214"/>
      <c r="C47" s="214"/>
      <c r="D47" s="214"/>
      <c r="E47" s="99"/>
      <c r="F47" s="99"/>
      <c r="G47" s="99"/>
      <c r="H47" s="99"/>
      <c r="I47" s="99"/>
    </row>
    <row r="48" spans="1:9">
      <c r="A48" s="214"/>
      <c r="B48" s="214"/>
      <c r="C48" s="214"/>
      <c r="D48" s="214"/>
      <c r="E48" s="99"/>
      <c r="F48" s="99"/>
      <c r="G48" s="99"/>
      <c r="H48" s="99"/>
      <c r="I48" s="99"/>
    </row>
    <row r="49" spans="1:4">
      <c r="A49" s="214"/>
      <c r="B49" s="214"/>
      <c r="C49" s="214"/>
      <c r="D49" s="214"/>
    </row>
    <row r="50" spans="1:4">
      <c r="A50" s="214"/>
      <c r="B50" s="214"/>
      <c r="C50" s="214"/>
      <c r="D50" s="214"/>
    </row>
    <row r="51" spans="1:4">
      <c r="A51" s="214"/>
      <c r="B51" s="214"/>
      <c r="C51" s="214"/>
      <c r="D51" s="214"/>
    </row>
    <row r="52" spans="1:4">
      <c r="A52" s="214"/>
      <c r="B52" s="214"/>
      <c r="C52" s="214"/>
      <c r="D52" s="214"/>
    </row>
    <row r="53" spans="1:4">
      <c r="A53" s="214"/>
      <c r="B53" s="214"/>
      <c r="C53" s="214"/>
      <c r="D53" s="214"/>
    </row>
    <row r="54" spans="1:4">
      <c r="A54" s="214"/>
      <c r="B54" s="214"/>
      <c r="C54" s="214"/>
      <c r="D54" s="214"/>
    </row>
    <row r="55" spans="1:4">
      <c r="A55" s="214"/>
      <c r="B55" s="214"/>
      <c r="C55" s="214"/>
      <c r="D55" s="214"/>
    </row>
    <row r="56" spans="1:4">
      <c r="A56" s="214"/>
      <c r="B56" s="214"/>
      <c r="C56" s="214"/>
      <c r="D56" s="214"/>
    </row>
    <row r="57" spans="1:4">
      <c r="A57" s="214"/>
      <c r="B57" s="214"/>
      <c r="C57" s="214"/>
      <c r="D57" s="214"/>
    </row>
    <row r="58" spans="1:4">
      <c r="A58" s="214"/>
      <c r="B58" s="214"/>
      <c r="C58" s="214"/>
      <c r="D58" s="214"/>
    </row>
  </sheetData>
  <sheetProtection formatRows="0"/>
  <mergeCells count="81">
    <mergeCell ref="A1:N1"/>
    <mergeCell ref="K24:N24"/>
    <mergeCell ref="K25:N25"/>
    <mergeCell ref="F21:I21"/>
    <mergeCell ref="F22:I22"/>
    <mergeCell ref="F23:I23"/>
    <mergeCell ref="F24:I24"/>
    <mergeCell ref="K22:N22"/>
    <mergeCell ref="K23:N23"/>
    <mergeCell ref="A22:D22"/>
    <mergeCell ref="A23:D23"/>
    <mergeCell ref="K19:N19"/>
    <mergeCell ref="K9:N9"/>
    <mergeCell ref="K10:N10"/>
    <mergeCell ref="K11:N11"/>
    <mergeCell ref="K12:N12"/>
    <mergeCell ref="F40:I40"/>
    <mergeCell ref="A47:D47"/>
    <mergeCell ref="A44:D44"/>
    <mergeCell ref="A45:D45"/>
    <mergeCell ref="A46:D46"/>
    <mergeCell ref="A40:D40"/>
    <mergeCell ref="F41:I41"/>
    <mergeCell ref="F42:I42"/>
    <mergeCell ref="A54:D54"/>
    <mergeCell ref="A50:D50"/>
    <mergeCell ref="A51:D51"/>
    <mergeCell ref="A52:D52"/>
    <mergeCell ref="A53:D53"/>
    <mergeCell ref="A58:D58"/>
    <mergeCell ref="A32:D32"/>
    <mergeCell ref="A33:D33"/>
    <mergeCell ref="A55:D55"/>
    <mergeCell ref="A56:D56"/>
    <mergeCell ref="A41:D41"/>
    <mergeCell ref="A42:D42"/>
    <mergeCell ref="A37:D37"/>
    <mergeCell ref="A43:D43"/>
    <mergeCell ref="A36:D36"/>
    <mergeCell ref="A38:D38"/>
    <mergeCell ref="A39:D39"/>
    <mergeCell ref="A35:D35"/>
    <mergeCell ref="A57:D57"/>
    <mergeCell ref="A48:D48"/>
    <mergeCell ref="A49:D49"/>
    <mergeCell ref="A29:D29"/>
    <mergeCell ref="A30:D30"/>
    <mergeCell ref="A31:D31"/>
    <mergeCell ref="A34:D34"/>
    <mergeCell ref="K16:N16"/>
    <mergeCell ref="A19:D19"/>
    <mergeCell ref="K20:N20"/>
    <mergeCell ref="K21:N21"/>
    <mergeCell ref="F19:I19"/>
    <mergeCell ref="F20:I20"/>
    <mergeCell ref="A21:D21"/>
    <mergeCell ref="A27:D27"/>
    <mergeCell ref="A28:D28"/>
    <mergeCell ref="A24:D24"/>
    <mergeCell ref="A25:D25"/>
    <mergeCell ref="A26:D26"/>
    <mergeCell ref="K13:N13"/>
    <mergeCell ref="K15:N15"/>
    <mergeCell ref="K18:N18"/>
    <mergeCell ref="K7:N7"/>
    <mergeCell ref="K8:N8"/>
    <mergeCell ref="K14:N14"/>
    <mergeCell ref="A10:D10"/>
    <mergeCell ref="F9:I9"/>
    <mergeCell ref="F6:I6"/>
    <mergeCell ref="F7:I7"/>
    <mergeCell ref="F8:I8"/>
    <mergeCell ref="A6:D6"/>
    <mergeCell ref="A7:D7"/>
    <mergeCell ref="K4:N4"/>
    <mergeCell ref="K6:N6"/>
    <mergeCell ref="F4:I4"/>
    <mergeCell ref="A8:D8"/>
    <mergeCell ref="A9:D9"/>
    <mergeCell ref="A4:D4"/>
    <mergeCell ref="A5:D5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B5C58-B84C-4236-96D5-65118906A11F}">
  <sheetPr codeName="Sheet5"/>
  <dimension ref="A2:P105"/>
  <sheetViews>
    <sheetView workbookViewId="0">
      <selection activeCell="Q7" sqref="Q7"/>
    </sheetView>
  </sheetViews>
  <sheetFormatPr defaultRowHeight="13.1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7" width="13.140625" customWidth="1"/>
    <col min="8" max="8" width="14" customWidth="1"/>
  </cols>
  <sheetData>
    <row r="2" spans="1:16" ht="21.75" customHeight="1">
      <c r="A2" s="139" t="s">
        <v>434</v>
      </c>
      <c r="B2" s="181"/>
      <c r="C2" s="181"/>
      <c r="D2" s="181"/>
      <c r="E2" s="181"/>
      <c r="F2" s="181"/>
      <c r="G2" s="181"/>
      <c r="H2" s="120"/>
      <c r="I2" s="126"/>
      <c r="J2" s="126"/>
      <c r="K2" s="120"/>
      <c r="L2" s="131"/>
      <c r="M2" s="131"/>
      <c r="N2" s="131"/>
      <c r="O2" s="131"/>
      <c r="P2" s="131"/>
    </row>
    <row r="5" spans="1:16" ht="26.1" customHeight="1">
      <c r="A5" s="99"/>
      <c r="B5" s="224" t="s">
        <v>435</v>
      </c>
      <c r="C5" s="221"/>
      <c r="D5" s="221"/>
      <c r="E5" s="221"/>
      <c r="F5" s="222"/>
      <c r="G5" s="73"/>
      <c r="H5" s="73"/>
      <c r="I5" s="99"/>
      <c r="J5" s="99"/>
      <c r="K5" s="99"/>
      <c r="L5" s="99"/>
      <c r="M5" s="99"/>
      <c r="N5" s="99"/>
      <c r="O5" s="99"/>
      <c r="P5" s="99"/>
    </row>
    <row r="6" spans="1:16" ht="18" customHeight="1">
      <c r="A6" s="99"/>
      <c r="B6" s="218" t="s">
        <v>419</v>
      </c>
      <c r="C6" s="179"/>
      <c r="D6" s="179" t="s">
        <v>436</v>
      </c>
      <c r="E6" s="179" t="s">
        <v>437</v>
      </c>
      <c r="F6" s="219"/>
      <c r="G6" s="179"/>
      <c r="H6" s="179"/>
      <c r="I6" s="99"/>
      <c r="J6" s="99"/>
      <c r="K6" s="139" t="s">
        <v>438</v>
      </c>
      <c r="L6" s="139"/>
      <c r="M6" s="139"/>
      <c r="N6" s="139"/>
      <c r="O6" s="139"/>
      <c r="P6" s="99"/>
    </row>
    <row r="7" spans="1:16" ht="18" customHeight="1">
      <c r="A7" s="99"/>
      <c r="B7" s="136" t="s">
        <v>439</v>
      </c>
      <c r="C7" s="115" t="s">
        <v>440</v>
      </c>
      <c r="D7" s="179"/>
      <c r="E7" s="115" t="s">
        <v>441</v>
      </c>
      <c r="F7" s="134" t="s">
        <v>442</v>
      </c>
      <c r="G7" s="115"/>
      <c r="H7" s="115"/>
      <c r="I7" s="99"/>
      <c r="J7" s="99"/>
      <c r="K7" s="99"/>
      <c r="L7" s="99"/>
      <c r="M7" s="99"/>
      <c r="N7" s="99"/>
      <c r="O7" s="99"/>
      <c r="P7" s="99"/>
    </row>
    <row r="8" spans="1:16" ht="14.1" customHeight="1">
      <c r="A8" s="99"/>
      <c r="B8" s="136" t="s">
        <v>423</v>
      </c>
      <c r="C8" s="115" t="s">
        <v>443</v>
      </c>
      <c r="D8" s="115">
        <v>2</v>
      </c>
      <c r="E8" s="71">
        <v>-0.04</v>
      </c>
      <c r="F8" s="74">
        <v>-3.3399999999999999E-2</v>
      </c>
      <c r="G8" s="72"/>
      <c r="H8" s="72"/>
      <c r="I8" s="99"/>
      <c r="J8" s="99"/>
      <c r="K8" s="220" t="s">
        <v>444</v>
      </c>
      <c r="L8" s="220"/>
      <c r="M8" s="220"/>
      <c r="N8" s="228" t="s">
        <v>445</v>
      </c>
      <c r="O8" s="228"/>
      <c r="P8" s="115"/>
    </row>
    <row r="9" spans="1:16" ht="14.1" customHeight="1">
      <c r="A9" s="99"/>
      <c r="B9" s="136" t="s">
        <v>446</v>
      </c>
      <c r="C9" s="115" t="s">
        <v>426</v>
      </c>
      <c r="D9" s="115">
        <v>3</v>
      </c>
      <c r="E9" s="71">
        <v>-0.06</v>
      </c>
      <c r="F9" s="74">
        <v>-5.0099999999999999E-2</v>
      </c>
      <c r="G9" s="72"/>
      <c r="H9" s="72"/>
      <c r="I9" s="99"/>
      <c r="J9" s="99"/>
      <c r="K9" s="220" t="s">
        <v>447</v>
      </c>
      <c r="L9" s="220"/>
      <c r="M9" s="220"/>
      <c r="N9" s="228">
        <v>-1.6670000000000001E-2</v>
      </c>
      <c r="O9" s="228"/>
      <c r="P9" s="115"/>
    </row>
    <row r="10" spans="1:16" ht="14.1" customHeight="1">
      <c r="A10" s="99"/>
      <c r="B10" s="136" t="s">
        <v>428</v>
      </c>
      <c r="C10" s="115" t="s">
        <v>448</v>
      </c>
      <c r="D10" s="115">
        <v>5</v>
      </c>
      <c r="E10" s="71">
        <v>-0.1</v>
      </c>
      <c r="F10" s="74">
        <v>-8.3400000000000002E-2</v>
      </c>
      <c r="G10" s="72"/>
      <c r="H10" s="72"/>
      <c r="I10" s="99"/>
      <c r="J10" s="99"/>
      <c r="K10" s="220" t="s">
        <v>449</v>
      </c>
      <c r="L10" s="220"/>
      <c r="M10" s="220"/>
      <c r="N10" s="228" t="s">
        <v>445</v>
      </c>
      <c r="O10" s="228"/>
      <c r="P10" s="115"/>
    </row>
    <row r="11" spans="1:16" ht="14.1" customHeight="1">
      <c r="A11" s="99"/>
      <c r="B11" s="136" t="s">
        <v>450</v>
      </c>
      <c r="C11" s="115" t="s">
        <v>451</v>
      </c>
      <c r="D11" s="115">
        <v>9</v>
      </c>
      <c r="E11" s="71">
        <v>-0.18</v>
      </c>
      <c r="F11" s="74">
        <v>-0.1502</v>
      </c>
      <c r="G11" s="72"/>
      <c r="H11" s="72"/>
      <c r="I11" s="99"/>
      <c r="J11" s="99"/>
      <c r="K11" s="220" t="s">
        <v>452</v>
      </c>
      <c r="L11" s="220"/>
      <c r="M11" s="220"/>
      <c r="N11" s="228">
        <v>-1.6670000000000001E-2</v>
      </c>
      <c r="O11" s="228"/>
      <c r="P11" s="115"/>
    </row>
    <row r="12" spans="1:16" ht="14.1" customHeight="1">
      <c r="A12" s="99"/>
      <c r="B12" s="136" t="s">
        <v>453</v>
      </c>
      <c r="C12" s="115" t="s">
        <v>454</v>
      </c>
      <c r="D12" s="115">
        <v>17</v>
      </c>
      <c r="E12" s="71">
        <v>-0.34</v>
      </c>
      <c r="F12" s="74">
        <v>-0.28360000000000002</v>
      </c>
      <c r="G12" s="72"/>
      <c r="H12" s="72"/>
      <c r="I12" s="99"/>
      <c r="J12" s="99"/>
      <c r="K12" s="99"/>
      <c r="L12" s="99"/>
      <c r="M12" s="99"/>
      <c r="N12" s="99"/>
      <c r="O12" s="99"/>
      <c r="P12" s="99"/>
    </row>
    <row r="13" spans="1:16" ht="14.1" customHeight="1">
      <c r="A13" s="99"/>
      <c r="B13" s="136" t="s">
        <v>455</v>
      </c>
      <c r="C13" s="115" t="s">
        <v>456</v>
      </c>
      <c r="D13" s="115">
        <v>33</v>
      </c>
      <c r="E13" s="71">
        <v>-0.66</v>
      </c>
      <c r="F13" s="74">
        <v>-0.55059999999999998</v>
      </c>
      <c r="G13" s="72"/>
      <c r="H13" s="72"/>
      <c r="I13" s="99"/>
      <c r="J13" s="99"/>
      <c r="K13" s="99"/>
      <c r="L13" s="99"/>
      <c r="M13" s="99"/>
      <c r="N13" s="99"/>
      <c r="O13" s="99"/>
      <c r="P13" s="99"/>
    </row>
    <row r="14" spans="1:16" ht="14.1" customHeight="1">
      <c r="A14" s="99"/>
      <c r="B14" s="136" t="s">
        <v>457</v>
      </c>
      <c r="C14" s="115" t="s">
        <v>458</v>
      </c>
      <c r="D14" s="115">
        <v>65</v>
      </c>
      <c r="E14" s="71">
        <v>-1.3</v>
      </c>
      <c r="F14" s="74">
        <v>-1.0844</v>
      </c>
      <c r="G14" s="72"/>
      <c r="H14" s="72"/>
      <c r="I14" s="99"/>
      <c r="J14" s="99"/>
      <c r="K14" s="99"/>
      <c r="L14" s="99"/>
      <c r="M14" s="99"/>
      <c r="N14" s="99"/>
      <c r="O14" s="99"/>
      <c r="P14" s="99"/>
    </row>
    <row r="15" spans="1:16" ht="14.1" customHeight="1">
      <c r="A15" s="99"/>
      <c r="B15" s="136" t="s">
        <v>429</v>
      </c>
      <c r="C15" s="115" t="s">
        <v>459</v>
      </c>
      <c r="D15" s="115">
        <v>129</v>
      </c>
      <c r="E15" s="71">
        <v>-2.58</v>
      </c>
      <c r="F15" s="74">
        <v>-2.1522000000000001</v>
      </c>
      <c r="G15" s="72"/>
      <c r="H15" s="72"/>
      <c r="I15" s="99"/>
      <c r="J15" s="99"/>
      <c r="K15" s="99"/>
      <c r="L15" s="99"/>
      <c r="M15" s="99"/>
      <c r="N15" s="99"/>
      <c r="O15" s="99"/>
      <c r="P15" s="99"/>
    </row>
    <row r="16" spans="1:16" ht="14.1" customHeight="1">
      <c r="A16" s="99"/>
      <c r="B16" s="136" t="s">
        <v>460</v>
      </c>
      <c r="C16" s="115" t="s">
        <v>461</v>
      </c>
      <c r="D16" s="115">
        <v>257</v>
      </c>
      <c r="E16" s="71">
        <v>-5.14</v>
      </c>
      <c r="F16" s="74">
        <v>-4.2876000000000003</v>
      </c>
      <c r="G16" s="72"/>
      <c r="H16" s="72"/>
      <c r="I16" s="99"/>
      <c r="J16" s="99"/>
      <c r="K16" s="99"/>
      <c r="L16" s="99"/>
      <c r="M16" s="99"/>
      <c r="N16" s="99"/>
      <c r="O16" s="99"/>
      <c r="P16" s="99"/>
    </row>
    <row r="17" spans="2:16" ht="14.1" customHeight="1">
      <c r="B17" s="75" t="s">
        <v>462</v>
      </c>
      <c r="C17" s="76" t="s">
        <v>463</v>
      </c>
      <c r="D17" s="76">
        <v>513</v>
      </c>
      <c r="E17" s="77">
        <v>-10.26</v>
      </c>
      <c r="F17" s="78">
        <v>-8.5586000000000002</v>
      </c>
      <c r="G17" s="72"/>
      <c r="H17" s="72"/>
      <c r="I17" s="99"/>
      <c r="J17" s="99"/>
      <c r="K17" s="99"/>
      <c r="L17" s="99"/>
      <c r="M17" s="99"/>
      <c r="N17" s="99"/>
      <c r="O17" s="99"/>
      <c r="P17" s="99"/>
    </row>
    <row r="20" spans="2:16" ht="26.1" customHeight="1">
      <c r="B20" s="224" t="s">
        <v>464</v>
      </c>
      <c r="C20" s="221"/>
      <c r="D20" s="221"/>
      <c r="E20" s="221"/>
      <c r="F20" s="222"/>
      <c r="G20" s="73"/>
      <c r="H20" s="73"/>
      <c r="I20" s="99"/>
      <c r="J20" s="99"/>
      <c r="K20" s="99"/>
      <c r="L20" s="99"/>
      <c r="M20" s="99"/>
      <c r="N20" s="99"/>
      <c r="O20" s="99"/>
      <c r="P20" s="99"/>
    </row>
    <row r="21" spans="2:16" ht="18" customHeight="1">
      <c r="B21" s="218" t="s">
        <v>419</v>
      </c>
      <c r="C21" s="179"/>
      <c r="D21" s="179" t="s">
        <v>436</v>
      </c>
      <c r="E21" s="179" t="s">
        <v>437</v>
      </c>
      <c r="F21" s="219"/>
      <c r="G21" s="179"/>
      <c r="H21" s="179"/>
      <c r="I21" s="99"/>
      <c r="J21" s="139" t="s">
        <v>465</v>
      </c>
      <c r="K21" s="179"/>
      <c r="L21" s="179"/>
      <c r="M21" s="179"/>
      <c r="N21" s="179"/>
      <c r="O21" s="179"/>
      <c r="P21" s="179"/>
    </row>
    <row r="22" spans="2:16" ht="18" customHeight="1">
      <c r="B22" s="136" t="s">
        <v>466</v>
      </c>
      <c r="C22" s="115" t="s">
        <v>467</v>
      </c>
      <c r="D22" s="179"/>
      <c r="E22" s="115" t="s">
        <v>441</v>
      </c>
      <c r="F22" s="134" t="s">
        <v>442</v>
      </c>
      <c r="G22" s="115"/>
      <c r="H22" s="115"/>
      <c r="I22" s="99"/>
      <c r="J22" s="179" t="s">
        <v>442</v>
      </c>
      <c r="K22" s="181"/>
      <c r="L22" s="181"/>
      <c r="M22" s="99"/>
      <c r="N22" s="179" t="s">
        <v>441</v>
      </c>
      <c r="O22" s="179"/>
      <c r="P22" s="181"/>
    </row>
    <row r="23" spans="2:16" ht="14.1" customHeight="1">
      <c r="B23" s="136" t="s">
        <v>468</v>
      </c>
      <c r="C23" s="115" t="s">
        <v>468</v>
      </c>
      <c r="D23" s="115">
        <v>1</v>
      </c>
      <c r="E23" s="71">
        <v>-0.02</v>
      </c>
      <c r="F23" s="74">
        <v>-1.67E-2</v>
      </c>
      <c r="G23" s="99"/>
      <c r="H23" s="99"/>
      <c r="I23" s="99"/>
      <c r="J23" s="179" t="s">
        <v>469</v>
      </c>
      <c r="K23" s="181"/>
      <c r="L23" s="181"/>
      <c r="M23" s="99"/>
      <c r="N23" s="179" t="s">
        <v>470</v>
      </c>
      <c r="O23" s="179"/>
      <c r="P23" s="181"/>
    </row>
    <row r="24" spans="2:16" ht="14.1" customHeight="1">
      <c r="B24" s="136" t="s">
        <v>471</v>
      </c>
      <c r="C24" s="115" t="s">
        <v>471</v>
      </c>
      <c r="D24" s="115">
        <v>2</v>
      </c>
      <c r="E24" s="71">
        <f>-0.02*D24</f>
        <v>-0.04</v>
      </c>
      <c r="F24" s="74">
        <f>-0.0167*D24</f>
        <v>-3.3399999999999999E-2</v>
      </c>
      <c r="G24" s="99"/>
      <c r="H24" s="99"/>
      <c r="I24" s="99"/>
      <c r="J24" s="179" t="s">
        <v>472</v>
      </c>
      <c r="K24" s="181"/>
      <c r="L24" s="181"/>
      <c r="M24" s="99"/>
      <c r="N24" s="179" t="s">
        <v>472</v>
      </c>
      <c r="O24" s="179"/>
      <c r="P24" s="181"/>
    </row>
    <row r="25" spans="2:16" ht="14.1" customHeight="1">
      <c r="B25" s="136" t="s">
        <v>473</v>
      </c>
      <c r="C25" s="115" t="s">
        <v>473</v>
      </c>
      <c r="D25" s="115">
        <v>4</v>
      </c>
      <c r="E25" s="71">
        <f t="shared" ref="E25:E30" si="0">-0.02*D25</f>
        <v>-0.08</v>
      </c>
      <c r="F25" s="74">
        <v>-6.6699999999999995E-2</v>
      </c>
      <c r="G25" s="99"/>
      <c r="H25" s="99"/>
      <c r="I25" s="99"/>
      <c r="J25" s="179" t="s">
        <v>474</v>
      </c>
      <c r="K25" s="179"/>
      <c r="L25" s="179"/>
      <c r="M25" s="99"/>
      <c r="N25" s="179"/>
      <c r="O25" s="179"/>
      <c r="P25" s="99"/>
    </row>
    <row r="26" spans="2:16" ht="14.1" customHeight="1">
      <c r="B26" s="136" t="s">
        <v>475</v>
      </c>
      <c r="C26" s="115" t="s">
        <v>475</v>
      </c>
      <c r="D26" s="115">
        <v>8</v>
      </c>
      <c r="E26" s="71">
        <f t="shared" si="0"/>
        <v>-0.16</v>
      </c>
      <c r="F26" s="74">
        <v>-0.13350000000000001</v>
      </c>
      <c r="G26" s="99"/>
      <c r="H26" s="99"/>
      <c r="I26" s="99"/>
      <c r="J26" s="99"/>
      <c r="K26" s="179"/>
      <c r="L26" s="179"/>
      <c r="M26" s="99"/>
      <c r="N26" s="179"/>
      <c r="O26" s="179"/>
      <c r="P26" s="99"/>
    </row>
    <row r="27" spans="2:16" ht="14.1" customHeight="1">
      <c r="B27" s="136" t="s">
        <v>476</v>
      </c>
      <c r="C27" s="115" t="s">
        <v>476</v>
      </c>
      <c r="D27" s="115">
        <v>16</v>
      </c>
      <c r="E27" s="71">
        <f t="shared" si="0"/>
        <v>-0.32</v>
      </c>
      <c r="F27" s="74">
        <v>-0.26690000000000003</v>
      </c>
      <c r="G27" s="99"/>
      <c r="H27" s="99"/>
      <c r="I27" s="99"/>
      <c r="J27" s="99"/>
      <c r="K27" s="99"/>
      <c r="L27" s="99"/>
      <c r="M27" s="99"/>
      <c r="N27" s="99"/>
      <c r="O27" s="99"/>
      <c r="P27" s="99"/>
    </row>
    <row r="28" spans="2:16" ht="14.1" customHeight="1">
      <c r="B28" s="136" t="s">
        <v>477</v>
      </c>
      <c r="C28" s="115" t="s">
        <v>477</v>
      </c>
      <c r="D28" s="115">
        <v>32</v>
      </c>
      <c r="E28" s="71">
        <f t="shared" si="0"/>
        <v>-0.64</v>
      </c>
      <c r="F28" s="74">
        <v>-0.53390000000000004</v>
      </c>
      <c r="G28" s="99"/>
      <c r="H28" s="99"/>
      <c r="I28" s="99"/>
      <c r="J28" s="99"/>
      <c r="K28" s="99"/>
      <c r="L28" s="99"/>
      <c r="M28" s="99"/>
      <c r="N28" s="99"/>
      <c r="O28" s="99"/>
      <c r="P28" s="99"/>
    </row>
    <row r="29" spans="2:16" ht="14.1" customHeight="1">
      <c r="B29" s="136" t="s">
        <v>478</v>
      </c>
      <c r="C29" s="115" t="s">
        <v>478</v>
      </c>
      <c r="D29" s="115">
        <v>64</v>
      </c>
      <c r="E29" s="71">
        <f t="shared" si="0"/>
        <v>-1.28</v>
      </c>
      <c r="F29" s="74">
        <v>-1.0677000000000001</v>
      </c>
      <c r="G29" s="99"/>
      <c r="H29" s="99"/>
      <c r="I29" s="99"/>
      <c r="J29" s="99"/>
      <c r="K29" s="99"/>
      <c r="L29" s="99"/>
      <c r="M29" s="99"/>
      <c r="N29" s="99"/>
      <c r="O29" s="99"/>
      <c r="P29" s="99"/>
    </row>
    <row r="30" spans="2:16" ht="14.1" customHeight="1">
      <c r="B30" s="136" t="s">
        <v>479</v>
      </c>
      <c r="C30" s="115" t="s">
        <v>479</v>
      </c>
      <c r="D30" s="115">
        <v>128</v>
      </c>
      <c r="E30" s="71">
        <f t="shared" si="0"/>
        <v>-2.56</v>
      </c>
      <c r="F30" s="74">
        <v>-2.1355</v>
      </c>
      <c r="G30" s="99"/>
      <c r="H30" s="99"/>
      <c r="I30" s="99"/>
      <c r="J30" s="99"/>
      <c r="K30" s="99"/>
      <c r="L30" s="99"/>
      <c r="M30" s="99"/>
      <c r="N30" s="99"/>
      <c r="O30" s="99"/>
      <c r="P30" s="99"/>
    </row>
    <row r="31" spans="2:16" ht="14.1" customHeight="1">
      <c r="B31" s="75" t="s">
        <v>480</v>
      </c>
      <c r="C31" s="76" t="s">
        <v>480</v>
      </c>
      <c r="D31" s="76">
        <v>256</v>
      </c>
      <c r="E31" s="77">
        <v>-5.08</v>
      </c>
      <c r="F31" s="78">
        <v>-4.2375999999999996</v>
      </c>
      <c r="G31" s="99"/>
      <c r="H31" s="99"/>
      <c r="I31" s="99"/>
      <c r="J31" s="99"/>
      <c r="K31" s="99"/>
      <c r="L31" s="99"/>
      <c r="M31" s="99"/>
      <c r="N31" s="99"/>
      <c r="O31" s="99"/>
      <c r="P31" s="99"/>
    </row>
    <row r="32" spans="2:16">
      <c r="B32" s="115"/>
      <c r="C32" s="115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</row>
    <row r="33" spans="2:8">
      <c r="B33" s="115"/>
      <c r="C33" s="115"/>
      <c r="D33" s="99"/>
      <c r="E33" s="99"/>
      <c r="F33" s="99"/>
      <c r="G33" s="99"/>
      <c r="H33" s="99"/>
    </row>
    <row r="34" spans="2:8" ht="26.1" customHeight="1">
      <c r="B34" s="224" t="s">
        <v>481</v>
      </c>
      <c r="C34" s="221"/>
      <c r="D34" s="221"/>
      <c r="E34" s="221"/>
      <c r="F34" s="222"/>
      <c r="G34" s="131"/>
      <c r="H34" s="131"/>
    </row>
    <row r="35" spans="2:8" ht="18" customHeight="1">
      <c r="B35" s="218" t="s">
        <v>419</v>
      </c>
      <c r="C35" s="179"/>
      <c r="D35" s="179" t="s">
        <v>436</v>
      </c>
      <c r="E35" s="179" t="s">
        <v>437</v>
      </c>
      <c r="F35" s="219"/>
      <c r="G35" s="179"/>
      <c r="H35" s="179"/>
    </row>
    <row r="36" spans="2:8" ht="18" customHeight="1">
      <c r="B36" s="136" t="s">
        <v>482</v>
      </c>
      <c r="C36" s="115"/>
      <c r="D36" s="179"/>
      <c r="E36" s="115" t="s">
        <v>441</v>
      </c>
      <c r="F36" s="134" t="s">
        <v>442</v>
      </c>
      <c r="G36" s="115"/>
      <c r="H36" s="115"/>
    </row>
    <row r="37" spans="2:8" ht="14.1" customHeight="1">
      <c r="B37" s="136" t="s">
        <v>468</v>
      </c>
      <c r="C37" s="115"/>
      <c r="D37" s="115">
        <v>1</v>
      </c>
      <c r="E37" s="71"/>
      <c r="F37" s="74">
        <v>-1.67E-2</v>
      </c>
      <c r="G37" s="99"/>
      <c r="H37" s="99"/>
    </row>
    <row r="38" spans="2:8" ht="14.1" customHeight="1">
      <c r="B38" s="136" t="s">
        <v>471</v>
      </c>
      <c r="C38" s="115"/>
      <c r="D38" s="115">
        <v>2</v>
      </c>
      <c r="E38" s="71"/>
      <c r="F38" s="74">
        <f>-0.0167*D38</f>
        <v>-3.3399999999999999E-2</v>
      </c>
      <c r="G38" s="99"/>
      <c r="H38" s="99"/>
    </row>
    <row r="39" spans="2:8" ht="14.1" customHeight="1">
      <c r="B39" s="136" t="s">
        <v>473</v>
      </c>
      <c r="C39" s="115"/>
      <c r="D39" s="115">
        <v>4</v>
      </c>
      <c r="E39" s="71"/>
      <c r="F39" s="74">
        <v>-6.6699999999999995E-2</v>
      </c>
      <c r="G39" s="99"/>
      <c r="H39" s="99"/>
    </row>
    <row r="40" spans="2:8" ht="14.1" customHeight="1">
      <c r="B40" s="136" t="s">
        <v>475</v>
      </c>
      <c r="C40" s="115"/>
      <c r="D40" s="115">
        <v>8</v>
      </c>
      <c r="E40" s="71"/>
      <c r="F40" s="74">
        <v>-0.13350000000000001</v>
      </c>
      <c r="G40" s="99"/>
      <c r="H40" s="99"/>
    </row>
    <row r="41" spans="2:8" ht="14.1" customHeight="1">
      <c r="B41" s="136" t="s">
        <v>476</v>
      </c>
      <c r="C41" s="115"/>
      <c r="D41" s="115">
        <v>16</v>
      </c>
      <c r="E41" s="71"/>
      <c r="F41" s="74">
        <v>-0.26690000000000003</v>
      </c>
      <c r="G41" s="99"/>
      <c r="H41" s="99"/>
    </row>
    <row r="42" spans="2:8" ht="14.1" customHeight="1">
      <c r="B42" s="136" t="s">
        <v>477</v>
      </c>
      <c r="C42" s="115"/>
      <c r="D42" s="115">
        <v>32</v>
      </c>
      <c r="E42" s="71"/>
      <c r="F42" s="74">
        <v>-0.53390000000000004</v>
      </c>
      <c r="G42" s="99"/>
      <c r="H42" s="99"/>
    </row>
    <row r="43" spans="2:8" ht="14.1" customHeight="1">
      <c r="B43" s="136" t="s">
        <v>478</v>
      </c>
      <c r="C43" s="115"/>
      <c r="D43" s="115">
        <v>64</v>
      </c>
      <c r="E43" s="71"/>
      <c r="F43" s="74">
        <v>-1.0677000000000001</v>
      </c>
      <c r="G43" s="99"/>
      <c r="H43" s="99"/>
    </row>
    <row r="44" spans="2:8" ht="14.1" customHeight="1">
      <c r="B44" s="136" t="s">
        <v>479</v>
      </c>
      <c r="C44" s="115"/>
      <c r="D44" s="115">
        <v>128</v>
      </c>
      <c r="E44" s="71"/>
      <c r="F44" s="74">
        <v>-2.1355</v>
      </c>
      <c r="G44" s="99"/>
      <c r="H44" s="99"/>
    </row>
    <row r="45" spans="2:8" ht="14.1" customHeight="1">
      <c r="B45" s="75" t="s">
        <v>480</v>
      </c>
      <c r="C45" s="76"/>
      <c r="D45" s="76">
        <v>256</v>
      </c>
      <c r="E45" s="77"/>
      <c r="F45" s="78">
        <v>-4.2709000000000001</v>
      </c>
      <c r="G45" s="99"/>
      <c r="H45" s="99"/>
    </row>
    <row r="48" spans="2:8" ht="26.1" customHeight="1">
      <c r="B48" s="221" t="s">
        <v>483</v>
      </c>
      <c r="C48" s="221"/>
      <c r="D48" s="221"/>
      <c r="E48" s="221"/>
      <c r="F48" s="222"/>
      <c r="G48" s="131"/>
      <c r="H48" s="131"/>
    </row>
    <row r="49" spans="2:8" ht="18" customHeight="1">
      <c r="B49" s="179" t="s">
        <v>419</v>
      </c>
      <c r="C49" s="179"/>
      <c r="D49" s="179" t="s">
        <v>436</v>
      </c>
      <c r="E49" s="179" t="s">
        <v>437</v>
      </c>
      <c r="F49" s="219"/>
      <c r="G49" s="179"/>
      <c r="H49" s="179"/>
    </row>
    <row r="50" spans="2:8" ht="18" customHeight="1">
      <c r="B50" s="99"/>
      <c r="C50" s="99"/>
      <c r="D50" s="179"/>
      <c r="E50" s="115" t="s">
        <v>441</v>
      </c>
      <c r="F50" s="134" t="s">
        <v>442</v>
      </c>
      <c r="G50" s="115"/>
      <c r="H50" s="115"/>
    </row>
    <row r="51" spans="2:8" ht="14.1" customHeight="1">
      <c r="B51" s="115" t="s">
        <v>423</v>
      </c>
      <c r="C51" s="99"/>
      <c r="D51" s="115">
        <v>0</v>
      </c>
      <c r="E51" s="115">
        <v>0</v>
      </c>
      <c r="F51" s="134">
        <v>0</v>
      </c>
      <c r="G51" s="99"/>
      <c r="H51" s="99"/>
    </row>
    <row r="52" spans="2:8" ht="14.1" customHeight="1">
      <c r="B52" s="115" t="s">
        <v>471</v>
      </c>
      <c r="C52" s="99"/>
      <c r="D52" s="115">
        <v>1</v>
      </c>
      <c r="E52" s="71">
        <v>-0.02</v>
      </c>
      <c r="F52" s="74">
        <v>-1.67E-2</v>
      </c>
      <c r="G52" s="99"/>
      <c r="H52" s="99"/>
    </row>
    <row r="53" spans="2:8" ht="14.1" customHeight="1">
      <c r="B53" s="115" t="s">
        <v>473</v>
      </c>
      <c r="C53" s="99"/>
      <c r="D53" s="115">
        <v>3</v>
      </c>
      <c r="E53" s="71">
        <v>-0.06</v>
      </c>
      <c r="F53" s="74">
        <v>-5.0099999999999999E-2</v>
      </c>
      <c r="G53" s="99"/>
      <c r="H53" s="99"/>
    </row>
    <row r="54" spans="2:8" ht="14.1" customHeight="1">
      <c r="B54" s="107" t="s">
        <v>484</v>
      </c>
      <c r="C54" s="79"/>
      <c r="D54" s="107">
        <v>5</v>
      </c>
      <c r="E54" s="108">
        <v>-0.1</v>
      </c>
      <c r="F54" s="109">
        <v>-8.3400000000000002E-2</v>
      </c>
      <c r="G54" s="99"/>
      <c r="H54" s="99"/>
    </row>
    <row r="55" spans="2:8" ht="14.1" customHeight="1">
      <c r="B55" s="115" t="s">
        <v>475</v>
      </c>
      <c r="C55" s="99"/>
      <c r="D55" s="115">
        <v>7</v>
      </c>
      <c r="E55" s="71">
        <v>-0.14000000000000001</v>
      </c>
      <c r="F55" s="74">
        <v>-0.1168</v>
      </c>
      <c r="G55" s="99"/>
      <c r="H55" s="99"/>
    </row>
    <row r="56" spans="2:8" ht="14.1" customHeight="1">
      <c r="B56" s="107" t="s">
        <v>485</v>
      </c>
      <c r="C56" s="79"/>
      <c r="D56" s="107">
        <v>9</v>
      </c>
      <c r="E56" s="108">
        <v>-0.18</v>
      </c>
      <c r="F56" s="109">
        <v>-0.1502</v>
      </c>
      <c r="G56" s="99"/>
      <c r="H56" s="99"/>
    </row>
    <row r="57" spans="2:8" ht="14.1" customHeight="1">
      <c r="B57" s="107" t="s">
        <v>476</v>
      </c>
      <c r="C57" s="79"/>
      <c r="D57" s="107">
        <v>15</v>
      </c>
      <c r="E57" s="108">
        <v>-0.3</v>
      </c>
      <c r="F57" s="109">
        <v>-0.25030000000000002</v>
      </c>
      <c r="G57" s="99"/>
      <c r="H57" s="99"/>
    </row>
    <row r="58" spans="2:8" ht="14.1" customHeight="1">
      <c r="B58" s="107" t="s">
        <v>486</v>
      </c>
      <c r="C58" s="79"/>
      <c r="D58" s="107">
        <v>23</v>
      </c>
      <c r="E58" s="108">
        <v>-0.46</v>
      </c>
      <c r="F58" s="109">
        <v>-0.38369999999999999</v>
      </c>
      <c r="G58" s="99"/>
      <c r="H58" s="99"/>
    </row>
    <row r="59" spans="2:8" ht="14.1" customHeight="1">
      <c r="B59" s="115" t="s">
        <v>477</v>
      </c>
      <c r="C59" s="99"/>
      <c r="D59" s="115">
        <v>31</v>
      </c>
      <c r="E59" s="71">
        <v>-0.62</v>
      </c>
      <c r="F59" s="74">
        <v>-0.51719999999999999</v>
      </c>
      <c r="G59" s="99"/>
      <c r="H59" s="99"/>
    </row>
    <row r="60" spans="2:8" ht="14.1" customHeight="1">
      <c r="B60" s="107" t="s">
        <v>487</v>
      </c>
      <c r="C60" s="79"/>
      <c r="D60" s="107">
        <v>47</v>
      </c>
      <c r="E60" s="108">
        <v>-0.94</v>
      </c>
      <c r="F60" s="109">
        <v>-0.78410000000000002</v>
      </c>
      <c r="G60" s="99"/>
      <c r="H60" s="99"/>
    </row>
    <row r="61" spans="2:8" ht="14.1" customHeight="1">
      <c r="B61" s="115" t="s">
        <v>478</v>
      </c>
      <c r="C61" s="99"/>
      <c r="D61" s="119">
        <v>63</v>
      </c>
      <c r="E61" s="71">
        <v>-1.26</v>
      </c>
      <c r="F61" s="74">
        <v>-1.0510999999999999</v>
      </c>
      <c r="G61" s="99"/>
      <c r="H61" s="99"/>
    </row>
    <row r="62" spans="2:8" ht="14.1" customHeight="1">
      <c r="B62" s="107" t="s">
        <v>488</v>
      </c>
      <c r="C62" s="79"/>
      <c r="D62" s="107">
        <v>93</v>
      </c>
      <c r="E62" s="108">
        <v>-1.86</v>
      </c>
      <c r="F62" s="109">
        <v>-1.5516000000000001</v>
      </c>
      <c r="G62" s="99"/>
      <c r="H62" s="99"/>
    </row>
    <row r="63" spans="2:8" ht="14.1" customHeight="1">
      <c r="B63" s="76" t="s">
        <v>479</v>
      </c>
      <c r="C63" s="80"/>
      <c r="D63" s="76">
        <v>127</v>
      </c>
      <c r="E63" s="77">
        <v>-2.54</v>
      </c>
      <c r="F63" s="78">
        <v>-2.1187999999999998</v>
      </c>
      <c r="G63" s="99"/>
      <c r="H63" s="99"/>
    </row>
    <row r="64" spans="2:8" ht="14.1" customHeight="1">
      <c r="B64" s="223" t="s">
        <v>489</v>
      </c>
      <c r="C64" s="223"/>
      <c r="D64" s="223"/>
      <c r="E64" s="223"/>
      <c r="F64" s="223"/>
      <c r="G64" s="135"/>
      <c r="H64" s="135"/>
    </row>
    <row r="67" spans="2:8" ht="26.1" customHeight="1">
      <c r="B67" s="224" t="s">
        <v>490</v>
      </c>
      <c r="C67" s="221"/>
      <c r="D67" s="221"/>
      <c r="E67" s="221"/>
      <c r="F67" s="222"/>
      <c r="G67" s="131"/>
      <c r="H67" s="131"/>
    </row>
    <row r="68" spans="2:8" ht="18" customHeight="1">
      <c r="B68" s="218" t="s">
        <v>419</v>
      </c>
      <c r="C68" s="179"/>
      <c r="D68" s="179" t="s">
        <v>436</v>
      </c>
      <c r="E68" s="179" t="s">
        <v>437</v>
      </c>
      <c r="F68" s="219"/>
      <c r="G68" s="179"/>
      <c r="H68" s="179"/>
    </row>
    <row r="69" spans="2:8" ht="18" customHeight="1">
      <c r="B69" s="136" t="s">
        <v>491</v>
      </c>
      <c r="C69" s="99"/>
      <c r="D69" s="179"/>
      <c r="E69" s="115" t="s">
        <v>441</v>
      </c>
      <c r="F69" s="134" t="s">
        <v>442</v>
      </c>
      <c r="G69" s="115"/>
      <c r="H69" s="115"/>
    </row>
    <row r="70" spans="2:8" ht="14.1" customHeight="1">
      <c r="B70" s="136" t="s">
        <v>423</v>
      </c>
      <c r="C70" s="99"/>
      <c r="D70" s="115">
        <v>1</v>
      </c>
      <c r="E70" s="71">
        <v>-0.02</v>
      </c>
      <c r="F70" s="74">
        <v>-1.67E-2</v>
      </c>
      <c r="G70" s="71"/>
      <c r="H70" s="71"/>
    </row>
    <row r="71" spans="2:8" ht="14.1" customHeight="1">
      <c r="B71" s="136" t="s">
        <v>492</v>
      </c>
      <c r="C71" s="99"/>
      <c r="D71" s="115">
        <v>2</v>
      </c>
      <c r="E71" s="71">
        <v>-0.04</v>
      </c>
      <c r="F71" s="74">
        <v>-3.3399999999999999E-2</v>
      </c>
      <c r="G71" s="71"/>
      <c r="H71" s="71"/>
    </row>
    <row r="72" spans="2:8" ht="14.1" customHeight="1">
      <c r="B72" s="136" t="s">
        <v>424</v>
      </c>
      <c r="C72" s="99"/>
      <c r="D72" s="115">
        <v>4</v>
      </c>
      <c r="E72" s="71">
        <v>-0.08</v>
      </c>
      <c r="F72" s="74">
        <v>-6.6699999999999995E-2</v>
      </c>
      <c r="G72" s="71"/>
      <c r="H72" s="71"/>
    </row>
    <row r="73" spans="2:8" ht="14.1" customHeight="1">
      <c r="B73" s="110" t="s">
        <v>493</v>
      </c>
      <c r="C73" s="111"/>
      <c r="D73" s="107">
        <v>6</v>
      </c>
      <c r="E73" s="108">
        <v>-0.12</v>
      </c>
      <c r="F73" s="109">
        <v>-0.10009999999999999</v>
      </c>
      <c r="G73" s="112"/>
      <c r="H73" s="112"/>
    </row>
    <row r="74" spans="2:8" ht="14.1" customHeight="1">
      <c r="B74" s="136" t="s">
        <v>425</v>
      </c>
      <c r="C74" s="99"/>
      <c r="D74" s="115">
        <v>8</v>
      </c>
      <c r="E74" s="71">
        <v>-0.16</v>
      </c>
      <c r="F74" s="74">
        <v>-0.13350000000000001</v>
      </c>
      <c r="G74" s="71"/>
      <c r="H74" s="71"/>
    </row>
    <row r="75" spans="2:8" ht="14.1" customHeight="1">
      <c r="B75" s="110" t="s">
        <v>494</v>
      </c>
      <c r="C75" s="111"/>
      <c r="D75" s="107">
        <v>10</v>
      </c>
      <c r="E75" s="108">
        <v>-0.2</v>
      </c>
      <c r="F75" s="109">
        <v>-0.1668</v>
      </c>
      <c r="G75" s="112"/>
      <c r="H75" s="112"/>
    </row>
    <row r="76" spans="2:8" ht="14.1" customHeight="1">
      <c r="B76" s="136" t="s">
        <v>495</v>
      </c>
      <c r="C76" s="99"/>
      <c r="D76" s="115">
        <v>16</v>
      </c>
      <c r="E76" s="71">
        <v>-0.32</v>
      </c>
      <c r="F76" s="74">
        <v>-0.26690000000000003</v>
      </c>
      <c r="G76" s="71"/>
      <c r="H76" s="71"/>
    </row>
    <row r="77" spans="2:8" ht="14.1" customHeight="1">
      <c r="B77" s="110" t="s">
        <v>496</v>
      </c>
      <c r="C77" s="111"/>
      <c r="D77" s="107">
        <v>24</v>
      </c>
      <c r="E77" s="108">
        <v>-0.48</v>
      </c>
      <c r="F77" s="109">
        <v>-0.40039999999999998</v>
      </c>
      <c r="G77" s="112"/>
      <c r="H77" s="112"/>
    </row>
    <row r="78" spans="2:8" ht="14.1" customHeight="1">
      <c r="B78" s="136" t="s">
        <v>497</v>
      </c>
      <c r="C78" s="99"/>
      <c r="D78" s="115">
        <v>32</v>
      </c>
      <c r="E78" s="71">
        <v>-0.64</v>
      </c>
      <c r="F78" s="74">
        <v>-0.53390000000000004</v>
      </c>
      <c r="G78" s="71"/>
      <c r="H78" s="71"/>
    </row>
    <row r="79" spans="2:8" ht="14.1" customHeight="1">
      <c r="B79" s="110" t="s">
        <v>498</v>
      </c>
      <c r="C79" s="111"/>
      <c r="D79" s="107">
        <v>48</v>
      </c>
      <c r="E79" s="108">
        <v>-0.96</v>
      </c>
      <c r="F79" s="109">
        <v>-0.80079999999999996</v>
      </c>
      <c r="G79" s="112"/>
      <c r="H79" s="112"/>
    </row>
    <row r="80" spans="2:8" ht="14.1" customHeight="1">
      <c r="B80" s="136" t="s">
        <v>499</v>
      </c>
      <c r="C80" s="99"/>
      <c r="D80" s="115">
        <v>64</v>
      </c>
      <c r="E80" s="71">
        <v>-1.28</v>
      </c>
      <c r="F80" s="74">
        <v>-1.0677000000000001</v>
      </c>
      <c r="G80" s="71"/>
      <c r="H80" s="71"/>
    </row>
    <row r="81" spans="2:8" ht="14.1" customHeight="1">
      <c r="B81" s="110" t="s">
        <v>500</v>
      </c>
      <c r="C81" s="111"/>
      <c r="D81" s="107">
        <v>94</v>
      </c>
      <c r="E81" s="108">
        <v>-1.88</v>
      </c>
      <c r="F81" s="109">
        <v>-1.5682</v>
      </c>
      <c r="G81" s="112"/>
      <c r="H81" s="112"/>
    </row>
    <row r="82" spans="2:8" ht="14.1" customHeight="1">
      <c r="B82" s="75" t="s">
        <v>501</v>
      </c>
      <c r="C82" s="80"/>
      <c r="D82" s="76">
        <v>128</v>
      </c>
      <c r="E82" s="77">
        <v>-2.56</v>
      </c>
      <c r="F82" s="78">
        <v>-2.1355</v>
      </c>
      <c r="G82" s="71"/>
      <c r="H82" s="71"/>
    </row>
    <row r="83" spans="2:8" ht="14.1" customHeight="1">
      <c r="B83" s="223" t="s">
        <v>489</v>
      </c>
      <c r="C83" s="223"/>
      <c r="D83" s="223"/>
      <c r="E83" s="223"/>
      <c r="F83" s="223"/>
      <c r="G83" s="135"/>
      <c r="H83" s="135"/>
    </row>
    <row r="86" spans="2:8" ht="26.1" customHeight="1">
      <c r="B86" s="225" t="s">
        <v>502</v>
      </c>
      <c r="C86" s="226"/>
      <c r="D86" s="226"/>
      <c r="E86" s="226"/>
      <c r="F86" s="227"/>
      <c r="G86" s="115"/>
      <c r="H86" s="115"/>
    </row>
    <row r="87" spans="2:8" ht="18" customHeight="1">
      <c r="B87" s="218" t="s">
        <v>419</v>
      </c>
      <c r="C87" s="179"/>
      <c r="D87" s="179" t="s">
        <v>436</v>
      </c>
      <c r="E87" s="179" t="s">
        <v>437</v>
      </c>
      <c r="F87" s="219"/>
      <c r="G87" s="179"/>
      <c r="H87" s="179"/>
    </row>
    <row r="88" spans="2:8" ht="18" customHeight="1">
      <c r="B88" s="81"/>
      <c r="C88" s="99"/>
      <c r="D88" s="179"/>
      <c r="E88" s="115" t="s">
        <v>441</v>
      </c>
      <c r="F88" s="134" t="s">
        <v>442</v>
      </c>
      <c r="G88" s="115"/>
      <c r="H88" s="115"/>
    </row>
    <row r="89" spans="2:8" ht="14.1" customHeight="1">
      <c r="B89" s="136" t="s">
        <v>468</v>
      </c>
      <c r="C89" s="115"/>
      <c r="D89" s="115">
        <v>2</v>
      </c>
      <c r="E89" s="99"/>
      <c r="F89" s="74">
        <v>-3.3399999999999999E-2</v>
      </c>
      <c r="G89" s="99"/>
      <c r="H89" s="99"/>
    </row>
    <row r="90" spans="2:8" ht="14.1" customHeight="1">
      <c r="B90" s="136" t="s">
        <v>471</v>
      </c>
      <c r="C90" s="115"/>
      <c r="D90" s="115">
        <v>3</v>
      </c>
      <c r="E90" s="99"/>
      <c r="F90" s="74">
        <v>-5.0099999999999999E-2</v>
      </c>
      <c r="G90" s="99"/>
      <c r="H90" s="99"/>
    </row>
    <row r="91" spans="2:8" ht="14.1" customHeight="1">
      <c r="B91" s="136" t="s">
        <v>473</v>
      </c>
      <c r="C91" s="115"/>
      <c r="D91" s="115">
        <v>5</v>
      </c>
      <c r="E91" s="99"/>
      <c r="F91" s="74">
        <v>-8.3400000000000002E-2</v>
      </c>
      <c r="G91" s="99"/>
      <c r="H91" s="99"/>
    </row>
    <row r="92" spans="2:8" ht="14.1" customHeight="1">
      <c r="B92" s="136" t="s">
        <v>484</v>
      </c>
      <c r="C92" s="115"/>
      <c r="D92" s="115">
        <v>7</v>
      </c>
      <c r="E92" s="99"/>
      <c r="F92" s="74">
        <v>-0.1168</v>
      </c>
      <c r="G92" s="99"/>
      <c r="H92" s="99"/>
    </row>
    <row r="93" spans="2:8" ht="14.1" customHeight="1">
      <c r="B93" s="136" t="s">
        <v>475</v>
      </c>
      <c r="C93" s="115"/>
      <c r="D93" s="115">
        <v>9</v>
      </c>
      <c r="E93" s="99"/>
      <c r="F93" s="74">
        <v>-0.1502</v>
      </c>
      <c r="G93" s="99"/>
      <c r="H93" s="99"/>
    </row>
    <row r="94" spans="2:8" ht="14.1" customHeight="1">
      <c r="B94" s="136" t="s">
        <v>503</v>
      </c>
      <c r="C94" s="115"/>
      <c r="D94" s="115">
        <v>11</v>
      </c>
      <c r="E94" s="99"/>
      <c r="F94" s="74">
        <v>-0.1835</v>
      </c>
      <c r="G94" s="99"/>
      <c r="H94" s="99"/>
    </row>
    <row r="95" spans="2:8" ht="14.1" customHeight="1">
      <c r="B95" s="136" t="s">
        <v>485</v>
      </c>
      <c r="C95" s="115"/>
      <c r="D95" s="115">
        <v>13</v>
      </c>
      <c r="E95" s="99"/>
      <c r="F95" s="74">
        <v>-0.21690000000000001</v>
      </c>
      <c r="G95" s="99"/>
      <c r="H95" s="99"/>
    </row>
    <row r="96" spans="2:8" ht="14.1" customHeight="1">
      <c r="B96" s="136" t="s">
        <v>504</v>
      </c>
      <c r="C96" s="115"/>
      <c r="D96" s="115">
        <v>15</v>
      </c>
      <c r="E96" s="99"/>
      <c r="F96" s="74">
        <v>-0.25030000000000002</v>
      </c>
      <c r="G96" s="99"/>
      <c r="H96" s="99"/>
    </row>
    <row r="97" spans="2:6" ht="14.1" customHeight="1">
      <c r="B97" s="136" t="s">
        <v>476</v>
      </c>
      <c r="C97" s="115"/>
      <c r="D97" s="115">
        <v>17</v>
      </c>
      <c r="E97" s="99"/>
      <c r="F97" s="74">
        <v>-0.28360000000000002</v>
      </c>
    </row>
    <row r="98" spans="2:6" ht="14.1" customHeight="1">
      <c r="B98" s="136" t="s">
        <v>486</v>
      </c>
      <c r="C98" s="115"/>
      <c r="D98" s="115">
        <v>25</v>
      </c>
      <c r="E98" s="99"/>
      <c r="F98" s="74">
        <v>-0.41710000000000003</v>
      </c>
    </row>
    <row r="99" spans="2:6" ht="14.1" customHeight="1">
      <c r="B99" s="136" t="s">
        <v>477</v>
      </c>
      <c r="C99" s="115"/>
      <c r="D99" s="115">
        <v>33</v>
      </c>
      <c r="E99" s="99"/>
      <c r="F99" s="74">
        <v>-0.55059999999999998</v>
      </c>
    </row>
    <row r="100" spans="2:6" ht="14.1" customHeight="1">
      <c r="B100" s="136" t="s">
        <v>478</v>
      </c>
      <c r="C100" s="115"/>
      <c r="D100" s="115">
        <v>65</v>
      </c>
      <c r="E100" s="99"/>
      <c r="F100" s="74">
        <v>-1.0844</v>
      </c>
    </row>
    <row r="101" spans="2:6" ht="14.1" customHeight="1">
      <c r="B101" s="136" t="s">
        <v>479</v>
      </c>
      <c r="C101" s="115"/>
      <c r="D101" s="115">
        <v>129</v>
      </c>
      <c r="E101" s="99"/>
      <c r="F101" s="74">
        <v>-2.1522000000000001</v>
      </c>
    </row>
    <row r="102" spans="2:6" ht="14.1" customHeight="1">
      <c r="B102" s="136" t="s">
        <v>480</v>
      </c>
      <c r="C102" s="115"/>
      <c r="D102" s="115">
        <v>257</v>
      </c>
      <c r="E102" s="99"/>
      <c r="F102" s="74">
        <v>-4.2876000000000003</v>
      </c>
    </row>
    <row r="103" spans="2:6" ht="14.1" customHeight="1">
      <c r="B103" s="75" t="s">
        <v>505</v>
      </c>
      <c r="C103" s="76"/>
      <c r="D103" s="76">
        <v>513</v>
      </c>
      <c r="E103" s="80"/>
      <c r="F103" s="78">
        <v>-8.5586000000000002</v>
      </c>
    </row>
    <row r="104" spans="2:6" ht="14.1" customHeight="1">
      <c r="B104" s="99"/>
      <c r="C104" s="99"/>
      <c r="D104" s="99"/>
      <c r="E104" s="99"/>
      <c r="F104" s="99"/>
    </row>
    <row r="105" spans="2:6" ht="14.1" customHeight="1">
      <c r="B105" s="99"/>
      <c r="C105" s="99"/>
      <c r="D105" s="99"/>
      <c r="E105" s="99"/>
      <c r="F105" s="99"/>
    </row>
  </sheetData>
  <sheetProtection formatRows="0"/>
  <mergeCells count="53">
    <mergeCell ref="B86:F86"/>
    <mergeCell ref="B34:F34"/>
    <mergeCell ref="G68:H68"/>
    <mergeCell ref="E49:F49"/>
    <mergeCell ref="N8:O8"/>
    <mergeCell ref="N9:O9"/>
    <mergeCell ref="N10:O10"/>
    <mergeCell ref="N11:O11"/>
    <mergeCell ref="J21:P21"/>
    <mergeCell ref="N23:P23"/>
    <mergeCell ref="N24:P24"/>
    <mergeCell ref="N25:O25"/>
    <mergeCell ref="N26:O26"/>
    <mergeCell ref="N22:P22"/>
    <mergeCell ref="J23:L23"/>
    <mergeCell ref="K6:O6"/>
    <mergeCell ref="B83:F83"/>
    <mergeCell ref="B6:C6"/>
    <mergeCell ref="E6:F6"/>
    <mergeCell ref="G6:H6"/>
    <mergeCell ref="K26:L26"/>
    <mergeCell ref="G49:H49"/>
    <mergeCell ref="B35:C35"/>
    <mergeCell ref="D35:D36"/>
    <mergeCell ref="E35:F35"/>
    <mergeCell ref="D68:D69"/>
    <mergeCell ref="E68:F68"/>
    <mergeCell ref="B49:C49"/>
    <mergeCell ref="D49:D50"/>
    <mergeCell ref="A2:G2"/>
    <mergeCell ref="B21:C21"/>
    <mergeCell ref="D21:D22"/>
    <mergeCell ref="E21:F21"/>
    <mergeCell ref="B5:F5"/>
    <mergeCell ref="D6:D7"/>
    <mergeCell ref="B20:F20"/>
    <mergeCell ref="G21:H21"/>
    <mergeCell ref="B87:C87"/>
    <mergeCell ref="D87:D88"/>
    <mergeCell ref="E87:F87"/>
    <mergeCell ref="G87:H87"/>
    <mergeCell ref="K8:M8"/>
    <mergeCell ref="K9:M9"/>
    <mergeCell ref="K10:M10"/>
    <mergeCell ref="K11:M11"/>
    <mergeCell ref="B48:F48"/>
    <mergeCell ref="B68:C68"/>
    <mergeCell ref="J24:L24"/>
    <mergeCell ref="G35:H35"/>
    <mergeCell ref="B64:F64"/>
    <mergeCell ref="B67:F67"/>
    <mergeCell ref="J25:L25"/>
    <mergeCell ref="J22:L22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27D6-A2CA-4F99-98E5-4660688027B0}">
  <sheetPr codeName="Sheet6"/>
  <dimension ref="A1"/>
  <sheetViews>
    <sheetView workbookViewId="0"/>
  </sheetViews>
  <sheetFormatPr defaultRowHeight="13.15"/>
  <sheetData/>
  <sheetProtection formatRows="0"/>
  <phoneticPr fontId="4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2026-01-09T10:40:53Z</dcterms:modified>
  <cp:category/>
  <cp:contentStatus/>
</cp:coreProperties>
</file>