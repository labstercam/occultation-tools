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chaelCamilleri\Downloads\"/>
    </mc:Choice>
  </mc:AlternateContent>
  <xr:revisionPtr revIDLastSave="0" documentId="13_ncr:1_{8CDBA6B2-A7D7-42E4-8B26-C427C3DBEF8C}" xr6:coauthVersionLast="47" xr6:coauthVersionMax="47" xr10:uidLastSave="{00000000-0000-0000-0000-000000000000}"/>
  <x:bookViews>
    <x:workbookView xWindow="-108" yWindow="-108" windowWidth="23256" windowHeight="12456" activeTab="2" xr2:uid="{080FCFD7-E308-408C-BE8B-98AE63D705D4}"/>
  </x:bookViews>
  <x:sheets>
    <x:sheet name="Directions" sheetId="3" r:id="rId1"/>
    <x:sheet name="TABLES" sheetId="2" r:id="rId2"/>
    <x:sheet name="DATA" sheetId="1" r:id="rId3"/>
    <x:sheet name="LISTS" sheetId="4" r:id="rId4"/>
    <x:sheet name="Corrections" sheetId="5" r:id="rId5"/>
    <x:sheet name="Sheet1" sheetId="6" state="hidden" r:id="rId6"/>
  </x:sheets>
  <x:externalReferences>
    <x:externalReference r:id="rId7"/>
  </x:externalReferences>
  <x:definedNames>
    <x:definedName name="_Address">DATA!$D$11</x:definedName>
    <x:definedName name="_Altitude">DATA!$V$18</x:definedName>
    <x:definedName name="_AltType">DATA!$W$18</x:definedName>
    <x:definedName name="_Aperture">DATA!$E$20</x:definedName>
    <x:definedName name="_AppType">DATA!$H$20</x:definedName>
    <x:definedName name="_ASHr">DATA!$F$36</x:definedName>
    <x:definedName name="_ASMi">DATA!$H$36</x:definedName>
    <x:definedName name="_ASRem">DATA!$U$36</x:definedName>
    <x:definedName name="_ASSe">DATA!$J$36</x:definedName>
    <x:definedName name="_AstName">DATA!$K$7</x:definedName>
    <x:definedName name="_AstNum">DATA!$E$7</x:definedName>
    <x:definedName name="_AstVisible">DATA!$AA$22</x:definedName>
    <x:definedName name="_CAHr">DATA!$F$34</x:definedName>
    <x:definedName name="_CamDelApplied">DATA!$AC$26</x:definedName>
    <x:definedName name="_CamFormat">DATA!$L$25</x:definedName>
    <x:definedName name="_CAMi">DATA!$H$34</x:definedName>
    <x:definedName name="_CamIDelay">DATA!$V$26</x:definedName>
    <x:definedName name="_CamOther">DATA!$V$25</x:definedName>
    <x:definedName name="_CamType">DATA!$E$25</x:definedName>
    <x:definedName name="_CamUnit">DATA!$S$25</x:definedName>
    <x:definedName name="_CamX">DATA!$P$25</x:definedName>
    <x:definedName name="_CARem">DATA!$U$34</x:definedName>
    <x:definedName name="_CASe">DATA!$J$34</x:definedName>
    <x:definedName name="_City">DATA!$D$13</x:definedName>
    <x:definedName name="_Cloud">DATA!$H$27</x:definedName>
    <x:definedName name="_DAcc">DATA!$M$33</x:definedName>
    <x:definedName name="_Datum">DATA!$AA$18</x:definedName>
    <x:definedName name="_Day">DATA!$P$5</x:definedName>
    <x:definedName name="_DHr">DATA!$F$33</x:definedName>
    <x:definedName name="_DMi">DATA!$H$33</x:definedName>
    <x:definedName name="_DPE">DATA!$O$33</x:definedName>
    <x:definedName name="_DPEApp">DATA!$P$33</x:definedName>
    <x:definedName name="_DRem">DATA!$U$33</x:definedName>
    <x:definedName name="_DSe">DATA!$J$33</x:definedName>
    <x:definedName name="_EOHr">DATA!$F$37</x:definedName>
    <x:definedName name="_EOMi">DATA!$H$37</x:definedName>
    <x:definedName name="_EORem">DATA!$U$37</x:definedName>
    <x:definedName name="_EorW">DATA!$R$18</x:definedName>
    <x:definedName name="_EOSe">DATA!$J$37</x:definedName>
    <x:definedName name="_Exposure">DATA!$P$26</x:definedName>
    <x:definedName name="_Fax">DATA!$S$13</x:definedName>
    <x:definedName name="_xlnm._FilterDatabase" localSheetId="2" hidden="1">DATA!$P$9:$AD$9</x:definedName>
    <x:definedName name="_fRatio">DATA!$L$20</x:definedName>
    <x:definedName name="_Latitude">DATA!$E$18</x:definedName>
    <x:definedName name="_LatType">DATA!$E$17</x:definedName>
    <x:definedName name="_Location">DATA!$E$15</x:definedName>
    <x:definedName name="_Longitude">DATA!$N$18</x:definedName>
    <x:definedName name="_LonType">DATA!$N$17</x:definedName>
    <x:definedName name="_Mag">DATA!$P$20</x:definedName>
    <x:definedName name="_Mialto">DATA!$S$9</x:definedName>
    <x:definedName name="_Miss">DATA!$W$38</x:definedName>
    <x:definedName name="_Month">DATA!$K$5</x:definedName>
    <x:definedName name="_NorS">DATA!$J$18</x:definedName>
    <x:definedName name="_Observer">DATA!$D$9</x:definedName>
    <x:definedName name="_OTA_Used">DATA!$O$23</x:definedName>
    <x:definedName name="_OtherCond">DATA!$X$27</x:definedName>
    <x:definedName name="_Phone">DATA!$S$11</x:definedName>
    <x:definedName name="_PHour">DATA!$Y$5</x:definedName>
    <x:definedName name="_PMin">DATA!$AA$5</x:definedName>
    <x:definedName name="_PosNeg">DATA!$A$2</x:definedName>
    <x:definedName name="_PSec">DATA!$AC$5</x:definedName>
    <x:definedName name="_RAcc">DATA!$M$35</x:definedName>
    <x:definedName name="_Remark1">DATA!$D$42</x:definedName>
    <x:definedName name="_Remark2">DATA!$D$43</x:definedName>
    <x:definedName name="_Remark3">DATA!$D$44</x:definedName>
    <x:definedName name="_RHr">DATA!$F$35</x:definedName>
    <x:definedName name="_RMi">DATA!$H$35</x:definedName>
    <x:definedName name="_RPE">DATA!$O$35</x:definedName>
    <x:definedName name="_RPEApp">DATA!$P$35</x:definedName>
    <x:definedName name="_RRem">DATA!$U$35</x:definedName>
    <x:definedName name="_RSe">DATA!$J$35</x:definedName>
    <x:definedName name="_SAMi">DATA!$H$36</x:definedName>
    <x:definedName name="_ScopeType">DATA!$T$20</x:definedName>
    <x:definedName name="_SecondStar">DATA!$D$40</x:definedName>
    <x:definedName name="_SMHr">DATA!$F$32</x:definedName>
    <x:definedName name="_SMMi">DATA!$H$32</x:definedName>
    <x:definedName name="_SMRem">DATA!$U$32</x:definedName>
    <x:definedName name="_SMSe">DATA!$J$32</x:definedName>
    <x:definedName name="_SNR">DATA!$W$40</x:definedName>
    <x:definedName name="_SOHr">DATA!$F$31</x:definedName>
    <x:definedName name="_SOMi">DATA!$H$31</x:definedName>
    <x:definedName name="_SORem">DATA!$U$31</x:definedName>
    <x:definedName name="_SOSe">DATA!$J$31</x:definedName>
    <x:definedName name="_Stability">DATA!$P$27</x:definedName>
    <x:definedName name="_StarCat">DATA!$S$7</x:definedName>
    <x:definedName name="_StarNum">DATA!$X$7</x:definedName>
    <x:definedName name="_TimeMethod">DATA!$O$22</x:definedName>
    <x:definedName name="_TimeSource">DATA!$C$22</x:definedName>
    <x:definedName name="_Version">DATA!$Z$2</x:definedName>
    <x:definedName name="_VTI_Type">DATA!$E$23</x:definedName>
    <x:definedName name="_Year">DATA!$D$5</x:definedName>
    <x:definedName name="Altitude">TABLES!$G$9:$G$10</x:definedName>
    <x:definedName name="Clouds">TABLES!$F$37:$F$44</x:definedName>
    <x:definedName name="Conditions">TABLES!$F$26:$F$29</x:definedName>
    <x:definedName name="Datum">TABLES!$F$1:$F$7</x:definedName>
    <x:definedName name="DegMinSec">TABLES!$F$33:$F$35</x:definedName>
    <x:definedName name="DegMinSecs">TABLES!$F$33</x:definedName>
    <x:definedName name="Degrees">TABLES!$F$33</x:definedName>
    <x:definedName name="Detector">TABLES!$B$60:$B$83</x:definedName>
    <x:definedName name="Format2">TABLES!$E$60:$E$66</x:definedName>
    <x:definedName name="InchCm">TABLES!$H$9:$H$10</x:definedName>
    <x:definedName name="Latitude">TABLES!$C$9:$C$10</x:definedName>
    <x:definedName name="Longitude">TABLES!$E$9:$E$10</x:definedName>
    <x:definedName name="Method">TABLES!$F$17:$F$24</x:definedName>
    <x:definedName name="Miss">TABLES!$D$37:$D$39</x:definedName>
    <x:definedName name="mm">[1]TABLES!$D$36:$D$38</x:definedName>
    <x:definedName name="Months">TABLES!$A$29:$A$40</x:definedName>
    <x:definedName name="OTA">TABLES!$A$60:$A$64</x:definedName>
    <x:definedName name="PE_2">TABLES!$A$42:$A$49</x:definedName>
    <x:definedName name="_xlnm.Print_Area" localSheetId="2">DATA!$A$1:$AC$46</x:definedName>
    <x:definedName name="Results">TABLES!$A$11:$A$13</x:definedName>
    <x:definedName name="RIO">DATA!$P$8</x:definedName>
    <x:definedName name="Seeing">TABLES!$H$17:$H$19</x:definedName>
    <x:definedName name="Stability">TABLES!$F$48:$F$50</x:definedName>
    <x:definedName name="Star">TABLES!$A$1:$A$9</x:definedName>
    <x:definedName name="Stars">TABLES!$F$10:$F$13</x:definedName>
    <x:definedName name="Telescope">TABLES!$A$51:$A$57</x:definedName>
    <x:definedName name="Telescopes">TABLES!$A$11:$A$15</x:definedName>
    <x:definedName name="Timer">LISTS!$K$6:$N$16</x:definedName>
    <x:definedName name="Timer2">TABLES!$B$85:$B$95</x:definedName>
    <x:definedName name="Timers">LISTS!$K$6:$N$16</x:definedName>
    <x:definedName name="TimeSource">TABLES!$I$9:$I$14</x:definedName>
    <x:definedName name="Timing">TABLES!$A$19:$A$26</x:definedName>
    <x:definedName name="Units">TABLES!$F$60:$F$63</x:definedName>
    <x:definedName name="Weight">TABLES!$B$41:$B$49</x:definedName>
    <x:definedName name="Year">TABLES!$C$27:$C$32</x:definedName>
    <x:definedName name="YesNo">TABLES!$C$17:$C$18</x:definedName>
  </x:definedNames>
  <x:calcPr calcId="191029" concurrentCalc="0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T46" i="1" l="1"/>
  <c r="E24" i="5"/>
  <c r="F24" i="5"/>
  <c r="E25" i="5"/>
  <c r="E26" i="5"/>
  <c r="E27" i="5"/>
  <c r="E28" i="5"/>
  <c r="E29" i="5"/>
  <c r="E30" i="5"/>
  <c r="F38" i="5"/>
  <c r="V23" i="1"/>
  <c r="C27" i="2"/>
  <c r="C28" i="2"/>
  <c r="C29" i="2"/>
  <c r="C30" i="2"/>
  <c r="C31" i="2"/>
  <c r="C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BradWTimerson</author>
  </authors>
  <commentList>
    <comment ref="P25" authorId="0" shapeId="0" xr:uid="{C6EC7F70-A9E7-444C-9057-A18B8DF32337}">
      <text>
        <r>
          <rPr>
            <sz val="9"/>
            <color indexed="81"/>
            <rFont val="Tahoma"/>
            <family val="2"/>
          </rPr>
          <t>Enter Free form similar to this list this List and units in next cell:
Automatic
NA
 120N          120N+       Others
  Off           High 1-5      None
Frame 1       Slow 1         2x
Frame 2       Slow 2         4x
Frame 4       Slow 3         6x
Frame 8       Slow 4         8x
Frame 16     Slow 5        10x
Frame 32     Slow 6        12x
Frame 64     Slow 7        14x
Frame 128   Slow 8        16x
Frame 256   Slow 9        32x
                                       64x
                                      128x
                                      256x
                                      512x</t>
        </r>
      </text>
    </comment>
    <comment ref="V25" authorId="0" shapeId="0" xr:uid="{8AFBF390-8B23-4955-B569-2A60503C874D}">
      <text>
        <r>
          <rPr>
            <sz val="9"/>
            <color indexed="81"/>
            <rFont val="Tahoma"/>
            <family val="2"/>
          </rPr>
          <t xml:space="preserve">Additional information:
filters, recorder compression, etc.
</t>
        </r>
      </text>
    </comment>
    <comment ref="P26" authorId="0" shapeId="0" xr:uid="{FDD7F4AF-F752-471C-94A1-A26777A683E2}">
      <text>
        <r>
          <rPr>
            <sz val="9"/>
            <color indexed="81"/>
            <rFont val="Tahoma"/>
            <family val="2"/>
          </rPr>
          <t>Enter exposure correction time based on integration selected.  Go to Corrections page for values.</t>
        </r>
      </text>
    </comment>
    <comment ref="V26" authorId="0" shapeId="0" xr:uid="{9F2EA3A9-9A01-4EE5-A291-3839A86D3930}">
      <text>
        <r>
          <rPr>
            <sz val="9"/>
            <color indexed="81"/>
            <rFont val="Tahoma"/>
            <family val="2"/>
          </rPr>
          <t>Enter VTI correction based on VTI used and analysis method. Table of corrections is on the Corrections page.</t>
        </r>
      </text>
    </comment>
  </commentList>
</comments>
</file>

<file path=xl/sharedStrings.xml><?xml version="1.0" encoding="utf-8"?>
<sst xmlns="http://schemas.openxmlformats.org/spreadsheetml/2006/main" count="612" uniqueCount="444">
  <si>
    <t>Year:</t>
  </si>
  <si>
    <t>Month:</t>
  </si>
  <si>
    <t>Email:</t>
  </si>
  <si>
    <t>Phone:</t>
  </si>
  <si>
    <t>Fax:</t>
  </si>
  <si>
    <t>Datum:</t>
  </si>
  <si>
    <t>E</t>
  </si>
  <si>
    <t>Telescope:</t>
  </si>
  <si>
    <t>f/ratio:</t>
  </si>
  <si>
    <t>Magnification:</t>
  </si>
  <si>
    <t>Type:</t>
  </si>
  <si>
    <t>Newtonian</t>
  </si>
  <si>
    <t>Refractor</t>
  </si>
  <si>
    <t>Dobsonian</t>
  </si>
  <si>
    <t>other</t>
  </si>
  <si>
    <t>N</t>
  </si>
  <si>
    <t>S</t>
  </si>
  <si>
    <t>W</t>
  </si>
  <si>
    <t>m</t>
  </si>
  <si>
    <t>ft</t>
  </si>
  <si>
    <t>Timing:</t>
  </si>
  <si>
    <t>GPS - other linking</t>
  </si>
  <si>
    <t>Video + audio time signal</t>
  </si>
  <si>
    <t>Stopwatch</t>
  </si>
  <si>
    <t>Tape Recorder + time signal</t>
  </si>
  <si>
    <t>Radio broadcast - calibrated</t>
  </si>
  <si>
    <t>GPS - time inserted</t>
  </si>
  <si>
    <t>Method:</t>
  </si>
  <si>
    <t>Visual, PE applied</t>
  </si>
  <si>
    <t>Visual, standard PE applied</t>
  </si>
  <si>
    <t>Visual, no PE applied</t>
  </si>
  <si>
    <t>Video with frame analysis</t>
  </si>
  <si>
    <t>Video, photo or photoelectric</t>
  </si>
  <si>
    <t>Only duration timed</t>
  </si>
  <si>
    <t>Drift scan</t>
  </si>
  <si>
    <t>Preliminary only</t>
  </si>
  <si>
    <t>NAD1927</t>
  </si>
  <si>
    <t>WGS84</t>
  </si>
  <si>
    <t>EP1950</t>
  </si>
  <si>
    <t>Tokyo</t>
  </si>
  <si>
    <t>GBSN80</t>
  </si>
  <si>
    <t>Conditions:</t>
  </si>
  <si>
    <t>Good</t>
  </si>
  <si>
    <t>Fair</t>
  </si>
  <si>
    <t>Poor</t>
  </si>
  <si>
    <t>Stability:</t>
  </si>
  <si>
    <t>wind</t>
  </si>
  <si>
    <t>clouds</t>
  </si>
  <si>
    <t>lights</t>
  </si>
  <si>
    <t>yes</t>
  </si>
  <si>
    <t>no</t>
  </si>
  <si>
    <t>Other conditions:</t>
  </si>
  <si>
    <t>Started Observing:</t>
  </si>
  <si>
    <t>Star and asteroid merged:</t>
  </si>
  <si>
    <t>Disappearance:</t>
  </si>
  <si>
    <t>Reappearance:</t>
  </si>
  <si>
    <t>N/S</t>
  </si>
  <si>
    <t>E/W</t>
  </si>
  <si>
    <t>Asteroid:</t>
  </si>
  <si>
    <t>Star:</t>
  </si>
  <si>
    <t>City, State, Country:</t>
  </si>
  <si>
    <t>Latitude:</t>
  </si>
  <si>
    <t>Longitude:</t>
  </si>
  <si>
    <t>m/ft</t>
  </si>
  <si>
    <t>Aperture:</t>
  </si>
  <si>
    <t>in</t>
  </si>
  <si>
    <t>cm</t>
  </si>
  <si>
    <t>unit</t>
  </si>
  <si>
    <t>Asteroid visible?</t>
  </si>
  <si>
    <t>Times</t>
  </si>
  <si>
    <t>Stopped Observing:</t>
  </si>
  <si>
    <t>Additional</t>
  </si>
  <si>
    <t>Comments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</si>
  <si>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</si>
  <si>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</si>
  <si>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</si>
  <si>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</si>
  <si>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</si>
  <si>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</si>
  <si>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</si>
  <si>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</si>
  <si>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</si>
  <si>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</si>
  <si>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</si>
  <si>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</si>
  <si>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:</t>
  </si>
  <si>
    <t>hh</t>
  </si>
  <si>
    <t>mm</t>
  </si>
  <si>
    <t>other - list in comments</t>
  </si>
  <si>
    <t>#</t>
  </si>
  <si>
    <t>HIP</t>
  </si>
  <si>
    <t>Observations:</t>
  </si>
  <si>
    <t>Accuracy</t>
  </si>
  <si>
    <t>PE</t>
  </si>
  <si>
    <t>PE applied by observer</t>
  </si>
  <si>
    <t>NA</t>
  </si>
  <si>
    <t>ss.sss</t>
  </si>
  <si>
    <t>Name:</t>
  </si>
  <si>
    <t>Standard PE applied, 1.0 sec</t>
  </si>
  <si>
    <t>Asteroid Occultation Report Form</t>
  </si>
  <si>
    <t>Clear</t>
  </si>
  <si>
    <t>Fog</t>
  </si>
  <si>
    <t>Thin cloud &lt; 2</t>
  </si>
  <si>
    <t>Thick cloud &gt; 2</t>
  </si>
  <si>
    <t>Broken cloud</t>
  </si>
  <si>
    <t>Star faint</t>
  </si>
  <si>
    <t>Averted vision</t>
  </si>
  <si>
    <t>Steady</t>
  </si>
  <si>
    <t>Slight flickering</t>
  </si>
  <si>
    <t>Strong flickering</t>
  </si>
  <si>
    <t>Clouds:</t>
  </si>
  <si>
    <t>Mailing Address:</t>
  </si>
  <si>
    <t>Observing Location:</t>
  </si>
  <si>
    <t>TYC       xxxx-xxxxx-x</t>
  </si>
  <si>
    <t>UCAC2        xxxxxxxx</t>
  </si>
  <si>
    <t>Location:</t>
  </si>
  <si>
    <t>Observer(s):</t>
  </si>
  <si>
    <t>binoculars</t>
  </si>
  <si>
    <t>no optical aid</t>
  </si>
  <si>
    <t>other - specify below</t>
  </si>
  <si>
    <t>Predicted Time (UTC):</t>
  </si>
  <si>
    <t>Day:</t>
  </si>
  <si>
    <t>All times MUST be reported using UTC</t>
  </si>
  <si>
    <t>SCT including Cass and Mak</t>
  </si>
  <si>
    <t xml:space="preserve">  hh</t>
  </si>
  <si>
    <t xml:space="preserve">  ss</t>
  </si>
  <si>
    <t>Observation was:</t>
  </si>
  <si>
    <t>Positive</t>
  </si>
  <si>
    <t>Negative</t>
  </si>
  <si>
    <t>Directions for Use of Asteroid Occultation Reporting Form</t>
  </si>
  <si>
    <t>mouse and clicking on that cell.</t>
  </si>
  <si>
    <t>Catalog - format</t>
  </si>
  <si>
    <t>Number</t>
  </si>
  <si>
    <t>Other</t>
  </si>
  <si>
    <t>deg mm sec.ss</t>
  </si>
  <si>
    <t>deg min.mmm</t>
  </si>
  <si>
    <t>deg.ddddd</t>
  </si>
  <si>
    <t>Est. Closest Approach:</t>
  </si>
  <si>
    <t>Star &amp; Asteroid separated:</t>
  </si>
  <si>
    <t>An attempt is being made to encourage observers of asteroid occultations to report their observations in a way that is</t>
  </si>
  <si>
    <t>You may move through the form one entry after another by using the TAB key.  You may also select any cell using the</t>
  </si>
  <si>
    <t>near the bottom of the form.  Remember, Negative observations are important for defining the maximum dimensions</t>
  </si>
  <si>
    <t>to the format you chose.  You may choose to show higher precision - more decimal places - as long as the format is</t>
  </si>
  <si>
    <t>maintained.</t>
  </si>
  <si>
    <t>satellites.</t>
  </si>
  <si>
    <t>Then indicate if you applied the PE to your time, should that be appropriate.  Usually PE is only used for visual/voice</t>
  </si>
  <si>
    <t>If a multiple star system is occulted and you have determined separate event times for more than one component of</t>
  </si>
  <si>
    <t>pull-down menu for that particular item are available for use.  Some choices are already present as default values.</t>
  </si>
  <si>
    <t>Eye-Ear + time signal</t>
  </si>
  <si>
    <t xml:space="preserve"> 2nd star</t>
  </si>
  <si>
    <t>visible?</t>
  </si>
  <si>
    <t>Unsure</t>
  </si>
  <si>
    <t>maybe</t>
  </si>
  <si>
    <t>1B    xxx - xxxxxxx</t>
  </si>
  <si>
    <t>1N    xxx - xxxxxxx</t>
  </si>
  <si>
    <t>Elevation:</t>
  </si>
  <si>
    <t>&lt;---(nearest City/Town, with State/Country only)</t>
  </si>
  <si>
    <t>S/N =</t>
  </si>
  <si>
    <t>(if known)</t>
  </si>
  <si>
    <t>Was this a Miss?</t>
  </si>
  <si>
    <t>clarifying any data that you entered. Please keep each line down to about 120 characters.</t>
  </si>
  <si>
    <t>UCAC3     xxx - xxxxxx</t>
  </si>
  <si>
    <t>Model/Type:</t>
  </si>
  <si>
    <t>Format:</t>
  </si>
  <si>
    <t>NTSC/EIA</t>
  </si>
  <si>
    <t>PAL/CCIR</t>
  </si>
  <si>
    <t>Frames</t>
  </si>
  <si>
    <t>Unit:</t>
  </si>
  <si>
    <t>Detector:</t>
  </si>
  <si>
    <t>ie The one that is not blurred in the milliseconds part.</t>
  </si>
  <si>
    <t>The groups are easiest to identify if you save a CSV file from Limovie or Tangra analysis.</t>
  </si>
  <si>
    <t>Please include a copy of the CSV and Occular analysis with your report.</t>
  </si>
  <si>
    <t>You may also be able to do manual interpolation in some cases - in that case please show your working in CSV file.</t>
  </si>
  <si>
    <t>Process if using a video camera:</t>
  </si>
  <si>
    <t>document should also work with the spreadsheet component of Open Office as well as on Macs.</t>
  </si>
  <si>
    <t>In general there will be a group that has a level somewhere between the Unocculted and the Occulted (bottom) levels.</t>
  </si>
  <si>
    <t>Slow 5</t>
  </si>
  <si>
    <t>UCAC4     xxx - xxxxxx</t>
  </si>
  <si>
    <t>This new option is in test mode and subject to change if required.</t>
  </si>
  <si>
    <t>For example:  20131003_25_Phocaea_HIP_115725+Timerson.xls     for a positive observation</t>
  </si>
  <si>
    <t>&lt;+/-&gt;   = a positive (+) or negative (-) event (Note: Not &lt;+/_&gt;)</t>
  </si>
  <si>
    <t>Select Yes if this report  is for the  second star of a double.</t>
  </si>
  <si>
    <t>Video</t>
  </si>
  <si>
    <t>NOTE</t>
  </si>
  <si>
    <t>If available please include a Tangra or Limovie CSV file of the light curve data.</t>
  </si>
  <si>
    <t>The exact position of the event within that group is not always obvious and we need to correct to the midpoint time of the group.</t>
  </si>
  <si>
    <t>PE/Delay applied?</t>
  </si>
  <si>
    <t>No PE/Delay applied</t>
  </si>
  <si>
    <t>using the same base naming standard and obviously a comment to describe the contents.</t>
  </si>
  <si>
    <t>For Mac users ONLY: We understand some of the above characters are not allowed in MAC filenames</t>
  </si>
  <si>
    <t>Please use as near as you can</t>
  </si>
  <si>
    <t>Double Star events - D and or R are step events</t>
  </si>
  <si>
    <t>First, use the pull-down menu at the upper left to indicate whether or not you saw an occultation.  The default is</t>
  </si>
  <si>
    <t xml:space="preserve"> the recorder to decide, it may also be appropriate to send a CSV or Graph of the light curve or a Tangra LC file</t>
  </si>
  <si>
    <t>If the catalog for the star is NOT available then put Cat and number informationin the Number cell</t>
  </si>
  <si>
    <t>Other Detector related info</t>
  </si>
  <si>
    <t>check this table</t>
  </si>
  <si>
    <t>Please always include your State/Province and Country (2 letter acronym) in this field</t>
  </si>
  <si>
    <t>For example there are towns called Richmond in at least 6 countries so please use:</t>
  </si>
  <si>
    <t>AUS Obseravtory, Richmond, NSW,AU.  or RSA Observatory, Richmond, KZN, ZA.  or   USA Observatory, Richmond, MS,US.</t>
  </si>
  <si>
    <t>The Fields for Video format, Exposure Mode , Unit, and Other are also free form. Fill in as required.</t>
  </si>
  <si>
    <t xml:space="preserve">For your D and R times note the midpoint time displayed by your OSD/VTI in the First frame of the group where your event occurs.  </t>
  </si>
  <si>
    <t>On this form, GRAY cells contain information that needs to be filled in by the observer.  Some of the information in the</t>
  </si>
  <si>
    <t>Positive.  If you didn't see an occultation, change that to Negative.  Then, change the "no" to "yes" in the "Miss?" cell</t>
  </si>
  <si>
    <t>Fill-in the Year, Month, Day, and Predicted Time of the event.  Note that Year and Month have pull-down menus.</t>
  </si>
  <si>
    <t>Fill-in the Asteroid Number and Name.  There are separate cells for these two items.</t>
  </si>
  <si>
    <t>Choose the Star Catalog from the pull-down menu and then enter the appropriate Star Number in the cell to the right.</t>
  </si>
  <si>
    <t>For TYC numbers, the format, including dashes, is important.  Example:  1234-56789-1</t>
  </si>
  <si>
    <t>For UCAC2 stars, 8 digits are required.  HIP stars have 4, 5 or 6 digits.</t>
  </si>
  <si>
    <t>Observer(s):  List observers.  If more than one, separate with a /.  Example:  John Doe/Jane Doe</t>
  </si>
  <si>
    <t>Latitude and Longitude:  These may be entered in any of 3 formats.  First, choose the format by using the pull-down</t>
  </si>
  <si>
    <t>menu.  The format used by OCCULT is the default shown.  Then record your position so that it corresponds exactly</t>
  </si>
  <si>
    <t>Enter Latitude:  Be sure to leave spaces as shown in the format example.  Choose N or S from the pull-down menu.</t>
  </si>
  <si>
    <t>Enter Longitude in a similar manner.  Choose E or W from the pull-down menu.</t>
  </si>
  <si>
    <t>Enter a numerical value for your Elevation and choose m (meters) or ft (feet) from the pull-down menu.</t>
  </si>
  <si>
    <t>Telescope:  Enter a numerical value for the Aperture and then choose a Unit from the pull-down menu.  Type in a</t>
  </si>
  <si>
    <t>numerical value for the f/ratio of the telescope/focal reducer/Barlow combination you are using.  If this is a visual</t>
  </si>
  <si>
    <t>observation, type in the numerical value for the Magnification of the eyepiece being used.  If using other than visual</t>
  </si>
  <si>
    <t>techniques, leave this blank.  From the pull-down menu, choose the nearest Type of telescope being used.</t>
  </si>
  <si>
    <t>Detector: For Visual Obserations just enter   Visual</t>
  </si>
  <si>
    <t xml:space="preserve">For CCD Enter CCD model XYZ </t>
  </si>
  <si>
    <t>Asteroid Visible?:  If you wish, choose whether or not the asteroid was visible at any time during your observation.</t>
  </si>
  <si>
    <t>Conditions:  From the pull-down menus, describe your observing conditions.  You may add further details under</t>
  </si>
  <si>
    <t>Observations:  Enter the times as appropriate.  Any times that you did not measure or observe (star and asteroid</t>
  </si>
  <si>
    <t>merged, for example) should be left blank.  Notice that the D and R times are the only times read by OCCULT.  However,</t>
  </si>
  <si>
    <t>recordings.  If additional information about a time is needed, provide that in the Remarks column for that time.</t>
  </si>
  <si>
    <t>Use the  the Miss? cells as needed.  The default  is "no".</t>
  </si>
  <si>
    <t>The "Miss ?" cell should be changed to "yes" if you also reported a Negative observation at the top of the form.</t>
  </si>
  <si>
    <t>The report for the second and subsequent components should have a "yes" in the "2nd Star?" cell.  Also, in the file</t>
  </si>
  <si>
    <t>name discussed below, place a 2 after your last name for a second component, a 3 after a third component, etc.</t>
  </si>
  <si>
    <t>Additional Comments can be made for any part of the observation that helps in analyzing the observations or in</t>
  </si>
  <si>
    <t>If you are providing other files as we request that ALL FILES associated with an event should be named</t>
  </si>
  <si>
    <t>best suited to using the OCCULT program for analysis.  To that end, this Form has been created using Excel.  This</t>
  </si>
  <si>
    <t>Google Docs is another option if you don’t have Excel</t>
  </si>
  <si>
    <t>Click on the down-arrow to see the choices.  Scroll to the best fit choice and release.  Only the choices shown in each</t>
  </si>
  <si>
    <t>of an asteroid. There are also an Unsure and maybe options - please add comments if you are not sure,  to help</t>
  </si>
  <si>
    <t xml:space="preserve"> or even in some cases the AVI file but they tend to be rather big.</t>
  </si>
  <si>
    <t>Please be sure to record all times in UTC using the format shown.  For example:  00:07:30     12:12:00.567</t>
  </si>
  <si>
    <t>Observing Location:  As a check on your latitude and longitude entry, please record the name of the city, town,and State,Country abbreviation code.</t>
  </si>
  <si>
    <t xml:space="preserve">At least the town or village nearest your observing location. </t>
  </si>
  <si>
    <t>From the pull-down menu, choose the appropriate Datum. Note GPS and Google Earth use the WGS84 Datum.</t>
  </si>
  <si>
    <t>Timing:  Select from the pull-down menu the best description of your Timing and Recording technique.</t>
  </si>
  <si>
    <t>Selecting the cell now pops up a prompt to help you with what is expected.</t>
  </si>
  <si>
    <t>See http://www.dangl.at/ausruest/vid_tim/vid_tim1.htm for a detailed discussion of time correction issues.</t>
  </si>
  <si>
    <t>Non Inegrating cameras</t>
  </si>
  <si>
    <t>Inegrating cameras</t>
  </si>
  <si>
    <t xml:space="preserve">Make use of one of the Occultation Timing Applications (OTAs)  </t>
  </si>
  <si>
    <t>Either AOTA which is part of Occult 4</t>
  </si>
  <si>
    <t>Or      http://www.asteroidoccultation.com/observations/NA/Analysis%20of%20Camera%20Delay%20Corrections.pdf   for more info</t>
  </si>
  <si>
    <t>These fields should help us resolve some anomalies that can result from some eqipment.</t>
  </si>
  <si>
    <t xml:space="preserve">Or Occular or it successor  R-OTE which can be downloaded from http://www.asteroidoccultation.com/observations/NA/ </t>
  </si>
  <si>
    <t>AOTA and ROTE both use the Integration sample size and display the corrected times and error estimates</t>
  </si>
  <si>
    <t>R-OTE</t>
  </si>
  <si>
    <t>Also select the Camera Delay by AOTA option in the next column  OR enter the Corrected value for the time and select Camera Delay Applied</t>
  </si>
  <si>
    <t>Select ADVS for both the Detector: Model/Type and Format fields.  field.</t>
  </si>
  <si>
    <t>Select Seconds for the Unit Field and enter the Exposure length in the Exposure field.</t>
  </si>
  <si>
    <t xml:space="preserve">ADVS is set up so that the recorded time is the time at the centre of the sample. </t>
  </si>
  <si>
    <t xml:space="preserve">This means there is zero correction to apply at any exposure length.   </t>
  </si>
  <si>
    <t>Observation Start and Observation End times may be important in the event of inaccurate predicted times and/or</t>
  </si>
  <si>
    <t>In the Accuracy column, type in a +/- estimate of the accuracy of the time given.  Example:  +/- 0.5 Use the OTA value if available.</t>
  </si>
  <si>
    <t>Under PE, record your Personal Equation for the event.  Example:  0.9 This really only applies to Visual observations.</t>
  </si>
  <si>
    <t>the star system or asteroid, then you should submit a separate report for each component for which you have determined times.</t>
  </si>
  <si>
    <t>For Video Please Enter some thing like:</t>
  </si>
  <si>
    <t xml:space="preserve">Photometer, Flea3-03S1 with ADVS, Flea3-03S3 with ADVS, 
Flea3-28S4M with ADVS, Grasshopper Express with ADVS, G-Star, WAT120N, WAT120N+, 
WAT910HX, WAT910BD, Mintron 12V1C-EX, Samsung SCB-2000, PC165-DNR , LN-300-11673, Other integrating 
KPC-350BH, PC164C, WAT902H, etc
</t>
  </si>
  <si>
    <t>KIWI-OSD</t>
  </si>
  <si>
    <t>eg Stop watch, WWV Radio time, Beeper Box, GPS, PC, NTP,
KIWI-OSD, IOTA-VTI, GPS-ABC, ADVS, Cell Phone.</t>
  </si>
  <si>
    <t>Timing Method:  Select from the pull-down menu the best description of your Method of timing.</t>
  </si>
  <si>
    <t>Timing Device:</t>
  </si>
  <si>
    <t>YELLOW cells are optional.  You may fill these in as you see fit.</t>
  </si>
  <si>
    <t xml:space="preserve">Light GRAY cells are in the form of pull-down menus.  </t>
  </si>
  <si>
    <t xml:space="preserve">Dark GRAY cells are in the form of required numeric or Free form text data.  </t>
  </si>
  <si>
    <t>The Light GRAY cells have a pull-down menu.  This is done to force match the  OCCULT analysis program being used.</t>
  </si>
  <si>
    <t xml:space="preserve">When you are on a Light GRAY cell, a down arrow to the right of the cell will indicate the presence of a pull-down menu.  </t>
  </si>
  <si>
    <t>Enter these times in the D and R time spaces on rows  33 and 35.</t>
  </si>
  <si>
    <t>Changed row 25</t>
  </si>
  <si>
    <t>Note your camera model in cell E25</t>
  </si>
  <si>
    <t>Note your format (PAL/CCIR or NTSC/EIA) in cell L25</t>
  </si>
  <si>
    <t xml:space="preserve">Note the exposure (Integration multiplier) in cell P25. </t>
  </si>
  <si>
    <t xml:space="preserve">Note your unit of exposure (Frames, Fields or Seconds) in cell S25 </t>
  </si>
  <si>
    <t>So Enter the error value shown in V25 in the Accuracy space of  rows 33 and 35</t>
  </si>
  <si>
    <t>The fields in Row 25 are now free form - the exploding number of  models of camera  has just become too big to spport them all.</t>
  </si>
  <si>
    <t>For UCAC3,  UCAC4,URAT1, NOMAD (1N) and USNO (B1) catalog stars, the dash is important.  For example:  992-191471</t>
  </si>
  <si>
    <t>Occultation Timing Application</t>
  </si>
  <si>
    <t>Units of Exposure</t>
  </si>
  <si>
    <t>Timing Device</t>
  </si>
  <si>
    <t>OTA</t>
  </si>
  <si>
    <t>Manual</t>
  </si>
  <si>
    <t>Fields</t>
  </si>
  <si>
    <t>AOTA (part of OCCULT4)</t>
  </si>
  <si>
    <t>WWV Radio Time</t>
  </si>
  <si>
    <t>Occular</t>
  </si>
  <si>
    <t>Seconds</t>
  </si>
  <si>
    <t>Beeperbox</t>
  </si>
  <si>
    <t>Other - Specify in Comments</t>
  </si>
  <si>
    <t>GPS</t>
  </si>
  <si>
    <t>Computer NTP</t>
  </si>
  <si>
    <t>IOTA-VTI</t>
  </si>
  <si>
    <t>GPS-ABC</t>
  </si>
  <si>
    <t>ADVS</t>
  </si>
  <si>
    <t>Cellphone</t>
  </si>
  <si>
    <t>Detector Model/Type</t>
  </si>
  <si>
    <t>Exposure Mode</t>
  </si>
  <si>
    <t>Video Format</t>
  </si>
  <si>
    <t>Camera Dependent!</t>
  </si>
  <si>
    <t>Visual</t>
  </si>
  <si>
    <t>Examples only shown here.</t>
  </si>
  <si>
    <t>Photometer</t>
  </si>
  <si>
    <t>CCD Drift</t>
  </si>
  <si>
    <t>PC165-DNR</t>
  </si>
  <si>
    <t>Off</t>
  </si>
  <si>
    <t>PC164C</t>
  </si>
  <si>
    <t>AAV-NTSC</t>
  </si>
  <si>
    <t>PC164C-EX</t>
  </si>
  <si>
    <t>x4</t>
  </si>
  <si>
    <t>AAV-PAL</t>
  </si>
  <si>
    <t>Watec 120N</t>
  </si>
  <si>
    <t>x8</t>
  </si>
  <si>
    <t>Watec 120N+</t>
  </si>
  <si>
    <t>Watec 910HX</t>
  </si>
  <si>
    <t>Slow 1</t>
  </si>
  <si>
    <t>Watec 910BD</t>
  </si>
  <si>
    <t>High 6</t>
  </si>
  <si>
    <t>Watec 902H</t>
  </si>
  <si>
    <t>Mintron 12v1C-EX</t>
  </si>
  <si>
    <t>Frame 2</t>
  </si>
  <si>
    <t>Mallincam</t>
  </si>
  <si>
    <t>Frame 64</t>
  </si>
  <si>
    <t>CCD</t>
  </si>
  <si>
    <t>Samsung SBC-2000</t>
  </si>
  <si>
    <t>On/4</t>
  </si>
  <si>
    <t>KPC-350BH</t>
  </si>
  <si>
    <t>LN-300-11673</t>
  </si>
  <si>
    <t>fps</t>
  </si>
  <si>
    <t>Flea 3-03S1 with ADVS</t>
  </si>
  <si>
    <t>Flea 3-03S3 with ADVS</t>
  </si>
  <si>
    <t>automatic</t>
  </si>
  <si>
    <t>Flea 3-28S4M with ADVS</t>
  </si>
  <si>
    <t>Grasshopper Express with ADVS</t>
  </si>
  <si>
    <t>Other/Not sure - Specify in Comments</t>
  </si>
  <si>
    <t>G-Star</t>
  </si>
  <si>
    <t>Table Showing Examples of what should be used in the Free Form text cells on the Data page</t>
  </si>
  <si>
    <t>WAT-120N and WAT-120N+</t>
  </si>
  <si>
    <t>120N</t>
  </si>
  <si>
    <t>120N+</t>
  </si>
  <si>
    <t>Field Delay</t>
  </si>
  <si>
    <t>Time Correction</t>
  </si>
  <si>
    <t>CCIR</t>
  </si>
  <si>
    <t>EIA</t>
  </si>
  <si>
    <t>High 1-5</t>
  </si>
  <si>
    <t>Frame 1</t>
  </si>
  <si>
    <t>Slow 2</t>
  </si>
  <si>
    <t>Frame 4</t>
  </si>
  <si>
    <t>Slow 3</t>
  </si>
  <si>
    <t>Frame 8</t>
  </si>
  <si>
    <t>Slow 4</t>
  </si>
  <si>
    <t>Frame 16</t>
  </si>
  <si>
    <t>Frame 32</t>
  </si>
  <si>
    <t>Slow 6</t>
  </si>
  <si>
    <t>Slow 7</t>
  </si>
  <si>
    <t>Frame 128</t>
  </si>
  <si>
    <t>Slow 8</t>
  </si>
  <si>
    <t>Frame 256</t>
  </si>
  <si>
    <t>Slow 9</t>
  </si>
  <si>
    <t>WAT-910HX and 910BD</t>
  </si>
  <si>
    <t>910HX</t>
  </si>
  <si>
    <t>910BD</t>
  </si>
  <si>
    <t>None</t>
  </si>
  <si>
    <t>2x</t>
  </si>
  <si>
    <t>4x</t>
  </si>
  <si>
    <t>8x</t>
  </si>
  <si>
    <t>16x</t>
  </si>
  <si>
    <t>32x</t>
  </si>
  <si>
    <t>64x</t>
  </si>
  <si>
    <t>128x</t>
  </si>
  <si>
    <t>256x</t>
  </si>
  <si>
    <t>PC-165DNR  (EIA)</t>
  </si>
  <si>
    <t>165DNR</t>
  </si>
  <si>
    <t>Mintron 12V1C-EX (CCIR) and 12V1C-EX (EIA)</t>
  </si>
  <si>
    <t>6x</t>
  </si>
  <si>
    <t>12x</t>
  </si>
  <si>
    <t>24x</t>
  </si>
  <si>
    <t>48x</t>
  </si>
  <si>
    <t>96x</t>
  </si>
  <si>
    <t>Red Integrations should NOT be used</t>
  </si>
  <si>
    <t>Mallincam MCH Plus Color (CCIR) and (EIA)</t>
  </si>
  <si>
    <t>Sense Up</t>
  </si>
  <si>
    <t>x2</t>
  </si>
  <si>
    <t>x6</t>
  </si>
  <si>
    <t>x12</t>
  </si>
  <si>
    <t>x16</t>
  </si>
  <si>
    <t>x24</t>
  </si>
  <si>
    <t>x32</t>
  </si>
  <si>
    <t>x48</t>
  </si>
  <si>
    <t>x64</t>
  </si>
  <si>
    <t>x96</t>
  </si>
  <si>
    <t>x128</t>
  </si>
  <si>
    <t>KIWI + Occular</t>
  </si>
  <si>
    <t>none</t>
  </si>
  <si>
    <t>KIWI + R-OTE</t>
  </si>
  <si>
    <t>IOTA-VTI + Occular</t>
  </si>
  <si>
    <t>IOTA-VTI + R-OTE</t>
  </si>
  <si>
    <t>SCB-2000N  (EIA)</t>
  </si>
  <si>
    <t>10x</t>
  </si>
  <si>
    <t>14x</t>
  </si>
  <si>
    <t>512x</t>
  </si>
  <si>
    <t>Additonal VTI Corrections</t>
  </si>
  <si>
    <t>Occular and R-OTE Integrated Camera Delay Correction Tables</t>
  </si>
  <si>
    <t>Non-Integrating Cameras - NO correction</t>
  </si>
  <si>
    <t>PC-164C-EX2</t>
  </si>
  <si>
    <t>WAT-902H2 Ultimate</t>
  </si>
  <si>
    <t>SK-1004XC</t>
  </si>
  <si>
    <t>Other - List in Comments</t>
  </si>
  <si>
    <t>Minutes</t>
  </si>
  <si>
    <t>Remarks (show integration corrections here)</t>
  </si>
  <si>
    <t>PC-164C</t>
  </si>
  <si>
    <t>No Camera Delay Applied</t>
  </si>
  <si>
    <t>Camera Delay by AOTA applied ---&gt;</t>
  </si>
  <si>
    <t>Camera Delay  by ROTE applied ---&gt;</t>
  </si>
  <si>
    <t>Camera Delay by Occular applied ---&gt;</t>
  </si>
  <si>
    <t>Exposure</t>
  </si>
  <si>
    <t>Apply Integrating camera delay corrections before entering times.  Go to CORRECTIONS page for R-OTE, Occular, and VTI correction values.</t>
  </si>
  <si>
    <t>Some of the cells in row 25 are  free form.  Look at Comments provided.</t>
  </si>
  <si>
    <t>OTA Used:</t>
  </si>
  <si>
    <r>
      <rPr>
        <b/>
        <sz val="10.5"/>
        <rFont val="Arial"/>
        <family val="2"/>
      </rPr>
      <t>S / N</t>
    </r>
    <r>
      <rPr>
        <sz val="14"/>
        <rFont val="Arial"/>
        <family val="2"/>
      </rPr>
      <t xml:space="preserve"> If you have information from AOTA or R-OTE or Occular about the Signal-to-Noise Ratio, place that in the yellow box to the right of S/N= .</t>
    </r>
  </si>
  <si>
    <t>RIO-TNO Prediction ?</t>
  </si>
  <si>
    <t>URAT1    xxx - xxxxxxx</t>
  </si>
  <si>
    <t>No</t>
  </si>
  <si>
    <t>Email all reports, positive or negative, to:   reports@asteroidoccultation.com</t>
  </si>
  <si>
    <t>Integration:</t>
  </si>
  <si>
    <t>Sec</t>
  </si>
  <si>
    <t>Has this been Applied ?</t>
  </si>
  <si>
    <t>cc:  Director@occultations.org.nz&gt;</t>
  </si>
  <si>
    <t>Camera Delay Correction:</t>
  </si>
  <si>
    <t>VTI Correction:</t>
  </si>
  <si>
    <t>Email report to:  mpobservations@occultations.org.nz</t>
  </si>
  <si>
    <t>GAIA Jhhmmss.ss±ddmmss.s</t>
  </si>
  <si>
    <t>Please use this format to name your file:  yyyymmdd_MPNumber_MPName_StarCat_StarName&lt;+/-&gt;YourLastName&lt;.xls</t>
  </si>
  <si>
    <t>or:                 20131007_31_Euphrosyne_TYC_2979_00969_1-Timerson.xls           for a negative (miss) observation</t>
  </si>
  <si>
    <t xml:space="preserve">Example for a second component:   20131007_31_Euphrosyne_TYC_2979_00969_1-Timerson_Ev2.xls </t>
  </si>
  <si>
    <t xml:space="preserve">Example for a second location:   20131007_31_Euphrosyne_TYC_2979_00969_1-Timerson_St2.xls </t>
  </si>
  <si>
    <t xml:space="preserve">Example for a second component lightcurve :   20131007_31_Euphrosyne_TYC_2979_00969_1-Timerson_Ev2_LC.gif </t>
  </si>
  <si>
    <t>QHY 174GPS</t>
  </si>
  <si>
    <t>FITS</t>
  </si>
  <si>
    <t>V4.1.2.G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</si>
</sst>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0.0"/>
    <x:numFmt numFmtId="165" formatCode="00"/>
    <x:numFmt numFmtId="166" formatCode="0#.###"/>
    <x:numFmt numFmtId="167" formatCode="0.000"/>
    <x:numFmt numFmtId="168" formatCode="#0.###"/>
    <x:numFmt numFmtId="169" formatCode="0.0000"/>
  </x:numFmts>
  <x:fonts count="56" x14ac:knownFonts="1">
    <x:font>
      <x:sz val="10"/>
      <x:name val="Arial"/>
    </x:font>
    <x:font>
      <x:sz val="10"/>
      <x:name val="Arial"/>
    </x:font>
    <x:font>
      <x:sz val="8"/>
      <x:name val="Arial"/>
      <x:family val="2"/>
    </x:font>
    <x:font>
      <x:b/>
      <x:sz val="10"/>
      <x:name val="Arial"/>
      <x:family val="2"/>
    </x:font>
    <x:font>
      <x:b/>
      <x:sz val="12"/>
      <x:name val="Arial"/>
      <x:family val="2"/>
    </x:font>
    <x:font>
      <x:b/>
      <x:sz val="9"/>
      <x:name val="Arial"/>
      <x:family val="2"/>
    </x:font>
    <x:font>
      <x:sz val="9"/>
      <x:name val="Arial"/>
      <x:family val="2"/>
    </x:font>
    <x:font>
      <x:b/>
      <x:sz val="10"/>
      <x:name val="Arial"/>
      <x:family val="2"/>
    </x:font>
    <x:font>
      <x:sz val="10"/>
      <x:name val="Arial"/>
      <x:family val="2"/>
    </x:font>
    <x:font>
      <x:sz val="12"/>
      <x:name val="Arial"/>
      <x:family val="2"/>
    </x:font>
    <x:font>
      <x:sz val="12"/>
      <x:name val="Arial"/>
      <x:family val="2"/>
    </x:font>
    <x:font>
      <x:u/>
      <x:sz val="10"/>
      <x:color indexed="12"/>
      <x:name val="Arial"/>
      <x:family val="2"/>
    </x:font>
    <x:font>
      <x:b/>
      <x:sz val="10"/>
      <x:color indexed="12"/>
      <x:name val="Arial"/>
      <x:family val="2"/>
    </x:font>
    <x:font>
      <x:b/>
      <x:sz val="10"/>
      <x:color indexed="60"/>
      <x:name val="Arial"/>
      <x:family val="2"/>
    </x:font>
    <x:font>
      <x:b/>
      <x:sz val="16"/>
      <x:name val="Arial"/>
      <x:family val="2"/>
    </x:font>
    <x:font>
      <x:b/>
      <x:sz val="14"/>
      <x:name val="Arial"/>
      <x:family val="2"/>
    </x:font>
    <x:font>
      <x:sz val="14"/>
      <x:name val="Arial"/>
      <x:family val="2"/>
    </x:font>
    <x:font>
      <x:b/>
      <x:sz val="20"/>
      <x:name val="Arial"/>
      <x:family val="2"/>
    </x:font>
    <x:font>
      <x:sz val="20"/>
      <x:name val="Arial"/>
      <x:family val="2"/>
    </x:font>
    <x:font>
      <x:b/>
      <x:sz val="12"/>
      <x:name val="Arial"/>
      <x:family val="2"/>
    </x:font>
    <x:font>
      <x:i/>
      <x:sz val="14"/>
      <x:name val="Arial"/>
      <x:family val="2"/>
    </x:font>
    <x:font>
      <x:b/>
      <x:sz val="14"/>
      <x:color indexed="10"/>
      <x:name val="Arial"/>
      <x:family val="2"/>
    </x:font>
    <x:font>
      <x:sz val="14"/>
      <x:color indexed="10"/>
      <x:name val="Arial"/>
      <x:family val="2"/>
    </x:font>
    <x:font>
      <x:sz val="10"/>
      <x:color indexed="10"/>
      <x:name val="Arial"/>
      <x:family val="2"/>
    </x:font>
    <x:font>
      <x:sz val="11"/>
      <x:name val="Arial"/>
      <x:family val="2"/>
    </x:font>
    <x:font>
      <x:sz val="14"/>
      <x:color indexed="12"/>
      <x:name val="Arial"/>
      <x:family val="2"/>
    </x:font>
    <x:font>
      <x:u/>
      <x:sz val="14"/>
      <x:color indexed="12"/>
      <x:name val="Arial"/>
      <x:family val="2"/>
    </x:font>
    <x:font>
      <x:b/>
      <x:sz val="10"/>
      <x:color indexed="10"/>
      <x:name val="Arial"/>
      <x:family val="2"/>
    </x:font>
    <x:font>
      <x:b/>
      <x:sz val="14"/>
      <x:color indexed="12"/>
      <x:name val="Arial"/>
      <x:family val="2"/>
    </x:font>
    <x:font>
      <x:sz val="14"/>
      <x:color indexed="12"/>
      <x:name val="Arial"/>
      <x:family val="2"/>
    </x:font>
    <x:font>
      <x:sz val="10"/>
      <x:color indexed="10"/>
      <x:name val="Arial"/>
      <x:family val="2"/>
    </x:font>
    <x:font>
      <x:sz val="10"/>
      <x:name val="Arial"/>
      <x:family val="2"/>
    </x:font>
    <x:font>
      <x:b/>
      <x:sz val="14"/>
      <x:color indexed="8"/>
      <x:name val="Arial"/>
      <x:family val="2"/>
    </x:font>
    <x:font>
      <x:sz val="14"/>
      <x:color indexed="8"/>
      <x:name val="Arial"/>
      <x:family val="2"/>
    </x:font>
    <x:font>
      <x:sz val="10"/>
      <x:color indexed="8"/>
      <x:name val="Arial"/>
      <x:family val="2"/>
    </x:font>
    <x:font>
      <x:sz val="12"/>
      <x:color indexed="8"/>
      <x:name val="Arial"/>
      <x:family val="2"/>
    </x:font>
    <x:font>
      <x:sz val="14"/>
      <x:color indexed="8"/>
      <x:name val="Arial"/>
      <x:family val="2"/>
    </x:font>
    <x:font>
      <x:sz val="14"/>
      <x:color indexed="30"/>
      <x:name val="Arial"/>
      <x:family val="2"/>
    </x:font>
    <x:font>
      <x:sz val="12"/>
      <x:name val="Times New Roman"/>
      <x:family val="1"/>
    </x:font>
    <x:font>
      <x:i/>
      <x:sz val="14"/>
      <x:name val="Times New Roman"/>
      <x:family val="1"/>
    </x:font>
    <x:font>
      <x:u/>
      <x:sz val="14"/>
      <x:name val="Arial"/>
      <x:family val="2"/>
    </x:font>
    <x:font>
      <x:sz val="10"/>
      <x:color indexed="8"/>
      <x:name val="Arial"/>
      <x:family val="2"/>
    </x:font>
    <x:font>
      <x:sz val="10"/>
      <x:color indexed="17"/>
      <x:name val="Arial"/>
      <x:family val="2"/>
    </x:font>
    <x:font>
      <x:b/>
      <x:sz val="14"/>
      <x:color indexed="30"/>
      <x:name val="Arial"/>
      <x:family val="2"/>
    </x:font>
    <x:font>
      <x:sz val="14"/>
      <x:color indexed="12"/>
      <x:name val="Arial"/>
      <x:family val="2"/>
    </x:font>
    <x:font>
      <x:b/>
      <x:sz val="14"/>
      <x:color indexed="8"/>
      <x:name val="Arial"/>
      <x:family val="2"/>
    </x:font>
    <x:font>
      <x:b/>
      <x:sz val="14"/>
      <x:color indexed="30"/>
      <x:name val="Arial"/>
      <x:family val="2"/>
    </x:font>
    <x:font>
      <x:sz val="8"/>
      <x:name val="Arial"/>
      <x:family val="2"/>
    </x:font>
    <x:font>
      <x:b/>
      <x:sz val="12"/>
      <x:color indexed="17"/>
      <x:name val="Arial"/>
      <x:family val="2"/>
    </x:font>
    <x:font>
      <x:sz val="12"/>
      <x:name val="Arial"/>
      <x:family val="2"/>
    </x:font>
    <x:font>
      <x:sz val="10"/>
      <x:color indexed="10"/>
      <x:name val="Arial"/>
      <x:family val="2"/>
    </x:font>
    <x:font>
      <x:sz val="9"/>
      <x:color indexed="81"/>
      <x:name val="Tahoma"/>
      <x:family val="2"/>
    </x:font>
    <x:font>
      <x:b/>
      <x:sz val="11"/>
      <x:color indexed="10"/>
      <x:name val="Arial"/>
      <x:family val="2"/>
    </x:font>
    <x:font>
      <x:b/>
      <x:sz val="10.5"/>
      <x:name val="Arial"/>
      <x:family val="2"/>
    </x:font>
    <x:font>
      <x:sz val="12"/>
      <x:color indexed="12"/>
      <x:name val="Arial"/>
      <x:family val="2"/>
    </x:font>
    <x:font>
      <x:sz val="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11"/>
        <x:bgColor indexed="64"/>
      </x:patternFill>
    </x:fill>
  </x:fills>
  <x:borders count="20">
    <x:border>
      <x:left/>
      <x:right/>
      <x:top/>
      <x:bottom/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dotted">
        <x:color indexed="64"/>
      </x:top>
      <x:bottom style="dotted">
        <x:color indexed="64"/>
      </x:bottom>
      <x:diagonal/>
    </x:border>
    <x:border>
      <x:left/>
      <x:right/>
      <x:top style="dashed">
        <x:color indexed="64"/>
      </x:top>
      <x:bottom/>
      <x:diagonal/>
    </x:border>
    <x:border>
      <x:left/>
      <x:right/>
      <x:top/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/>
      <x:top style="dotted">
        <x:color indexed="64"/>
      </x:top>
      <x:bottom/>
      <x:diagonal/>
    </x:border>
    <x:border>
      <x:left/>
      <x:right/>
      <x:top/>
      <x:bottom style="dotted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</x:borders>
  <x:cellStyleXfs count="2">
    <x:xf numFmtId="0" fontId="0" fillId="0" borderId="0"/>
    <x:xf numFmtId="0" fontId="11" fillId="0" borderId="0" applyNumberFormat="0" applyFill="0" applyBorder="0" applyAlignment="0" applyProtection="0">
      <x:alignment vertical="top"/>
      <x:protection locked="0"/>
    </x:xf>
  </x:cellStyleXfs>
  <x:cellXfs count="246">
    <x:xf numFmtId="0" fontId="0" fillId="0" borderId="0" xfId="0"/>
    <x:xf numFmtId="0" fontId="8" fillId="0" borderId="0" xfId="0" applyFont="1"/>
    <x:xf numFmtId="0" fontId="4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 wrapText="1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vertical="center"/>
    </x:xf>
    <x:xf numFmtId="0" fontId="5" fillId="0" borderId="0" xfId="0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49" fontId="0" fillId="0" borderId="0" xfId="0" applyNumberFormat="1" applyAlignment="1">
      <x:alignment horizontal="left" vertical="center"/>
    </x:xf>
    <x:xf numFmtId="49" fontId="9" fillId="0" borderId="0" xfId="0" applyNumberFormat="1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2" fillId="0" borderId="0" xfId="0" applyFont="1" applyAlignment="1">
      <x:alignment horizontal="right" vertical="center"/>
    </x:xf>
    <x:xf numFmtId="0" fontId="12" fillId="0" borderId="0" xfId="0" applyFont="1"/>
    <x:xf numFmtId="0" fontId="13" fillId="0" borderId="0" xfId="0" applyFont="1"/>
    <x:xf numFmtId="0" fontId="8" fillId="0" borderId="0" xfId="0" applyFont="1" applyAlignment="1">
      <x:alignment horizontal="left"/>
    </x:xf>
    <x:xf numFmtId="0" fontId="9" fillId="0" borderId="0" xfId="0" applyFont="1" applyAlignment="1">
      <x:alignment horizontal="right" vertical="center"/>
    </x:xf>
    <x:xf numFmtId="0" fontId="9" fillId="0" borderId="0" xfId="0" applyFont="1" applyAlignment="1">
      <x:alignment horizontal="center" vertical="center"/>
    </x:xf>
    <x:xf numFmtId="49" fontId="16" fillId="0" borderId="0" xfId="0" applyNumberFormat="1" applyFont="1" applyAlignment="1">
      <x:alignment horizontal="right" vertical="center"/>
    </x:xf>
    <x:xf numFmtId="49" fontId="10" fillId="0" borderId="0" xfId="0" applyNumberFormat="1" applyFont="1" applyAlignment="1">
      <x:alignment horizontal="center" vertical="center"/>
    </x:xf>
    <x:xf numFmtId="49" fontId="9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10" fillId="0" borderId="0" xfId="0" applyNumberFormat="1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49" fontId="9" fillId="0" borderId="0" xfId="0" applyNumberFormat="1" applyFont="1" applyAlignment="1">
      <x:alignment horizontal="left" vertical="center"/>
    </x:xf>
    <x:xf numFmtId="0" fontId="9" fillId="0" borderId="0" xfId="0" applyFont="1"/>
    <x:xf numFmtId="0" fontId="19" fillId="0" borderId="0" xfId="0" applyFont="1" applyAlignment="1">
      <x:alignment horizontal="center" vertical="center"/>
    </x:xf>
    <x:xf numFmtId="0" fontId="0" fillId="0" borderId="0" xfId="0" applyAlignment="1">
      <x:alignment horizontal="left" vertical="center" indent="1"/>
    </x:xf>
    <x:xf numFmtId="49" fontId="0" fillId="0" borderId="0" xfId="0" applyNumberFormat="1" applyAlignment="1">
      <x:alignment horizontal="left" vertical="center" indent="1"/>
    </x:xf>
    <x:xf numFmtId="49" fontId="3" fillId="0" borderId="0" xfId="0" applyNumberFormat="1" applyFont="1" applyAlignment="1">
      <x:alignment horizontal="center" vertical="center"/>
    </x:xf>
    <x:xf numFmtId="49" fontId="9" fillId="2" borderId="0" xfId="0" applyNumberFormat="1" applyFont="1" applyFill="1" applyAlignment="1" applyProtection="1">
      <x:alignment horizontal="left" vertical="top"/>
      <x:protection locked="0"/>
    </x:xf>
    <x:xf numFmtId="49" fontId="9" fillId="2" borderId="0" xfId="0" applyNumberFormat="1" applyFont="1" applyFill="1" applyAlignment="1">
      <x:alignment horizontal="left" vertical="top"/>
    </x:xf>
    <x:xf numFmtId="165" fontId="0" fillId="2" borderId="1" xfId="0" applyNumberFormat="1" applyFill="1" applyBorder="1" applyAlignment="1" applyProtection="1">
      <x:alignment horizontal="right" vertical="center"/>
      <x:protection locked="0"/>
    </x:xf>
    <x:xf numFmtId="165" fontId="0" fillId="2" borderId="1" xfId="0" applyNumberFormat="1" applyFill="1" applyBorder="1" applyAlignment="1" applyProtection="1">
      <x:alignment horizontal="center" vertical="center"/>
      <x:protection locked="0"/>
    </x:xf>
    <x:xf numFmtId="0" fontId="14" fillId="0" borderId="0" xfId="0" applyFont="1" applyAlignment="1">
      <x:alignment horizontal="center" vertical="center"/>
    </x:xf>
    <x:xf numFmtId="0" fontId="16" fillId="0" borderId="0" xfId="0" applyFont="1" applyAlignment="1">
      <x:alignment horizontal="left" vertical="center"/>
    </x:xf>
    <x:xf numFmtId="0" fontId="0" fillId="0" borderId="0" xfId="0" applyAlignment="1">
      <x:alignment horizontal="right"/>
    </x:xf>
    <x:xf numFmtId="0" fontId="27" fillId="0" borderId="0" xfId="0" applyFont="1" applyAlignment="1">
      <x:alignment horizontal="center" vertical="center"/>
    </x:xf>
    <x:xf numFmtId="0" fontId="28" fillId="0" borderId="0" xfId="0" applyFont="1"/>
    <x:xf numFmtId="0" fontId="29" fillId="0" borderId="0" xfId="0" applyFont="1" applyAlignment="1">
      <x:alignment horizontal="left" vertical="center"/>
    </x:xf>
    <x:xf numFmtId="0" fontId="28" fillId="0" borderId="0" xfId="0" applyFont="1" applyAlignment="1">
      <x:alignment horizontal="left" vertical="center"/>
    </x:xf>
    <x:xf numFmtId="0" fontId="24" fillId="0" borderId="0" xfId="0" applyFont="1" applyAlignment="1">
      <x:alignment horizontal="center" vertical="center"/>
    </x:xf>
    <x:xf numFmtId="0" fontId="25" fillId="0" borderId="0" xfId="0" applyFont="1" applyAlignment="1">
      <x:alignment horizontal="left" vertical="center"/>
    </x:xf>
    <x:xf numFmtId="0" fontId="15" fillId="0" borderId="0" xfId="0" applyFont="1" applyAlignment="1">
      <x:alignment horizontal="left" vertical="center"/>
    </x:xf>
    <x:xf numFmtId="0" fontId="26" fillId="0" borderId="0" xfId="1" applyFont="1" applyAlignment="1" applyProtection="1"/>
    <x:xf numFmtId="0" fontId="25" fillId="0" borderId="0" xfId="1" applyFont="1" applyAlignment="1" applyProtection="1"/>
    <x:xf numFmtId="0" fontId="34" fillId="0" borderId="0" xfId="0" applyFont="1"/>
    <x:xf numFmtId="0" fontId="35" fillId="0" borderId="0" xfId="1" applyFont="1" applyAlignment="1" applyProtection="1"/>
    <x:xf numFmtId="0" fontId="36" fillId="0" borderId="0" xfId="1" applyFont="1" applyAlignment="1" applyProtection="1"/>
    <x:xf numFmtId="0" fontId="36" fillId="0" borderId="0" xfId="0" applyFont="1" applyAlignment="1">
      <x:alignment horizontal="left" vertical="center"/>
    </x:xf>
    <x:xf numFmtId="0" fontId="37" fillId="0" borderId="0" xfId="0" applyFont="1"/>
    <x:xf numFmtId="0" fontId="16" fillId="0" borderId="0" xfId="0" applyFont="1" applyAlignment="1">
      <x:alignment vertical="center"/>
    </x:xf>
    <x:xf numFmtId="0" fontId="38" fillId="0" borderId="0" xfId="0" applyFont="1"/>
    <x:xf numFmtId="0" fontId="38" fillId="0" borderId="0" xfId="0" applyFont="1" applyAlignment="1">
      <x:alignment horizontal="left" indent="12"/>
    </x:xf>
    <x:xf numFmtId="0" fontId="16" fillId="0" borderId="0" xfId="0" applyFont="1"/>
    <x:xf numFmtId="0" fontId="20" fillId="0" borderId="0" xfId="0" applyFont="1" applyAlignment="1">
      <x:alignment vertical="center"/>
    </x:xf>
    <x:xf numFmtId="0" fontId="39" fillId="0" borderId="0" xfId="0" applyFont="1"/>
    <x:xf numFmtId="49" fontId="9" fillId="0" borderId="2" xfId="0" applyNumberFormat="1" applyFont="1" applyBorder="1" applyAlignment="1">
      <x:alignment vertical="center"/>
    </x:xf>
    <x:xf numFmtId="0" fontId="9" fillId="0" borderId="2" xfId="0" applyFont="1" applyBorder="1" applyAlignment="1">
      <x:alignment vertical="center"/>
    </x:xf>
    <x:xf numFmtId="0" fontId="0" fillId="0" borderId="2" xfId="0" applyBorder="1" applyAlignment="1">
      <x:alignment vertical="center"/>
    </x:xf>
    <x:xf numFmtId="49" fontId="0" fillId="0" borderId="0" xfId="0" applyNumberFormat="1" applyAlignment="1">
      <x:alignment vertical="center"/>
    </x:xf>
    <x:xf numFmtId="0" fontId="41" fillId="0" borderId="0" xfId="0" applyFont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43" fillId="0" borderId="0" xfId="0" applyFont="1"/>
    <x:xf numFmtId="0" fontId="15" fillId="0" borderId="0" xfId="0" applyFont="1"/>
    <x:xf numFmtId="0" fontId="40" fillId="0" borderId="0" xfId="1" applyFont="1" applyAlignment="1" applyProtection="1"/>
    <x:xf numFmtId="0" fontId="16" fillId="0" borderId="0" xfId="1" applyFont="1" applyAlignment="1" applyProtection="1"/>
    <x:xf numFmtId="0" fontId="44" fillId="0" borderId="0" xfId="1" applyFont="1" applyAlignment="1" applyProtection="1"/>
    <x:xf numFmtId="0" fontId="45" fillId="0" borderId="0" xfId="0" applyFont="1" applyAlignment="1">
      <x:alignment horizontal="left" vertical="center"/>
    </x:xf>
    <x:xf numFmtId="0" fontId="42" fillId="0" borderId="0" xfId="0" applyFont="1"/>
    <x:xf numFmtId="0" fontId="20" fillId="0" borderId="0" xfId="0" applyFont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8" fillId="0" borderId="0" xfId="0" applyFont="1" applyAlignment="1">
      <x:alignment horizontal="left"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30" fillId="0" borderId="0" xfId="0" applyFont="1" applyAlignment="1">
      <x:alignment horizontal="center"/>
    </x:xf>
    <x:xf numFmtId="0" fontId="4" fillId="0" borderId="0" xfId="0" applyFont="1" applyAlignment="1">
      <x:alignment horizontal="left" vertical="center"/>
    </x:xf>
    <x:xf numFmtId="0" fontId="0" fillId="0" borderId="0" xfId="0" applyAlignment="1">
      <x:alignment horizontal="left"/>
    </x:xf>
    <x:xf numFmtId="0" fontId="46" fillId="3" borderId="0" xfId="0" applyFont="1" applyFill="1"/>
    <x:xf numFmtId="0" fontId="0" fillId="3" borderId="0" xfId="0" applyFill="1"/>
    <x:xf numFmtId="0" fontId="36" fillId="0" borderId="0" xfId="1" applyFont="1" applyAlignment="1" applyProtection="1">
      <x:alignment horizontal="left"/>
    </x:xf>
    <x:xf numFmtId="0" fontId="25" fillId="0" borderId="0" xfId="1" applyFont="1" applyAlignment="1" applyProtection="1">
      <x:alignment horizontal="left"/>
    </x:xf>
    <x:xf numFmtId="0" fontId="14" fillId="0" borderId="0" xfId="0" applyFont="1" applyAlignment="1">
      <x:alignment horizontal="left" vertical="center"/>
    </x:xf>
    <x:xf numFmtId="0" fontId="26" fillId="0" borderId="0" xfId="1" applyFont="1" applyAlignment="1" applyProtection="1">
      <x:alignment horizontal="left"/>
    </x:xf>
    <x:xf numFmtId="0" fontId="33" fillId="0" borderId="0" xfId="0" applyFont="1" applyAlignment="1">
      <x:alignment horizontal="left" vertical="center"/>
    </x:xf>
    <x:xf numFmtId="0" fontId="34" fillId="3" borderId="0" xfId="0" applyFont="1" applyFill="1"/>
    <x:xf numFmtId="0" fontId="43" fillId="3" borderId="0" xfId="0" applyFont="1" applyFill="1"/>
    <x:xf numFmtId="0" fontId="32" fillId="0" borderId="0" xfId="1" applyFont="1" applyAlignment="1" applyProtection="1">
      <x:alignment horizontal="left"/>
    </x:xf>
    <x:xf numFmtId="0" fontId="33" fillId="0" borderId="0" xfId="0" applyFont="1"/>
    <x:xf numFmtId="0" fontId="25" fillId="0" borderId="0" xfId="0" applyFont="1" applyAlignment="1">
      <x:alignment horizontal="left" vertical="center" wrapText="1"/>
    </x:xf>
    <x:xf numFmtId="0" fontId="15" fillId="0" borderId="0" xfId="0" applyFont="1" applyAlignment="1">
      <x:alignment horizontal="left" vertical="center" wrapText="1"/>
    </x:xf>
    <x:xf numFmtId="0" fontId="10" fillId="4" borderId="0" xfId="0" applyFont="1" applyFill="1" applyAlignment="1" applyProtection="1">
      <x:alignment horizontal="center" vertical="center"/>
      <x:protection locked="0"/>
    </x:xf>
    <x:xf numFmtId="0" fontId="9" fillId="4" borderId="0" xfId="0" applyFont="1" applyFill="1" applyAlignment="1" applyProtection="1">
      <x:alignment horizontal="center" vertical="center"/>
      <x:protection locked="0"/>
    </x:xf>
    <x:xf numFmtId="0" fontId="19" fillId="4" borderId="0" xfId="0" applyFont="1" applyFill="1" applyAlignment="1" applyProtection="1">
      <x:alignment horizontal="center" vertical="center"/>
      <x:protection locked="0"/>
    </x:xf>
    <x:xf numFmtId="0" fontId="15" fillId="4" borderId="0" xfId="0" applyFont="1" applyFill="1" applyAlignment="1">
      <x:alignment horizontal="left" vertical="center"/>
    </x:xf>
    <x:xf numFmtId="0" fontId="15" fillId="5" borderId="0" xfId="0" applyFont="1" applyFill="1" applyAlignment="1">
      <x:alignment horizontal="left" vertical="center"/>
    </x:xf>
    <x:xf numFmtId="0" fontId="0" fillId="0" borderId="0" xfId="0" applyAlignment="1">
      <x:alignment horizontal="left" vertical="center" indent="3"/>
    </x:xf>
    <x:xf numFmtId="0" fontId="0" fillId="0" borderId="0" xfId="0" applyAlignment="1">
      <x:alignment horizontal="left" vertical="center" indent="2"/>
    </x:xf>
    <x:xf numFmtId="169" fontId="0" fillId="0" borderId="0" xfId="0" applyNumberFormat="1" applyAlignment="1">
      <x:alignment horizontal="center" vertical="center"/>
    </x:xf>
    <x:xf numFmtId="167" fontId="0" fillId="0" borderId="0" xfId="0" applyNumberFormat="1" applyAlignment="1">
      <x:alignment horizontal="center" vertical="center"/>
    </x:xf>
    <x:xf numFmtId="0" fontId="49" fillId="0" borderId="0" xfId="0" applyFont="1" applyAlignment="1">
      <x:alignment horizontal="center" vertical="center"/>
    </x:xf>
    <x:xf numFmtId="0" fontId="3" fillId="0" borderId="0" xfId="0" applyFont="1"/>
    <x:xf numFmtId="169" fontId="50" fillId="0" borderId="0" xfId="0" applyNumberFormat="1" applyFont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169" fontId="0" fillId="0" borderId="7" xfId="0" applyNumberFormat="1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169" fontId="0" fillId="0" borderId="9" xfId="0" applyNumberFormat="1" applyBorder="1" applyAlignment="1">
      <x:alignment horizontal="center" vertical="center"/>
    </x:xf>
    <x:xf numFmtId="169" fontId="0" fillId="0" borderId="10" xfId="0" applyNumberFormat="1" applyBorder="1" applyAlignment="1">
      <x:alignment horizontal="center" vertical="center"/>
    </x:xf>
    <x:xf numFmtId="0" fontId="50" fillId="4" borderId="0" xfId="0" applyFont="1" applyFill="1" applyAlignment="1">
      <x:alignment horizontal="center" vertical="center"/>
    </x:xf>
    <x:xf numFmtId="0" fontId="0" fillId="4" borderId="0" xfId="0" applyFill="1"/>
    <x:xf numFmtId="169" fontId="50" fillId="4" borderId="0" xfId="0" applyNumberFormat="1" applyFont="1" applyFill="1" applyAlignment="1">
      <x:alignment horizontal="center" vertical="center"/>
    </x:xf>
    <x:xf numFmtId="169" fontId="50" fillId="4" borderId="7" xfId="0" applyNumberFormat="1" applyFont="1" applyFill="1" applyBorder="1" applyAlignment="1">
      <x:alignment horizontal="center" vertical="center"/>
    </x:xf>
    <x:xf numFmtId="0" fontId="0" fillId="0" borderId="9" xfId="0" applyBorder="1"/>
    <x:xf numFmtId="0" fontId="50" fillId="4" borderId="6" xfId="0" applyFont="1" applyFill="1" applyBorder="1" applyAlignment="1">
      <x:alignment horizontal="center" vertical="center"/>
    </x:xf>
    <x:xf numFmtId="0" fontId="50" fillId="4" borderId="0" xfId="0" applyFont="1" applyFill="1"/>
    <x:xf numFmtId="0" fontId="0" fillId="0" borderId="6" xfId="0" applyBorder="1"/>
    <x:xf numFmtId="49" fontId="19" fillId="4" borderId="0" xfId="0" applyNumberFormat="1" applyFont="1" applyFill="1" applyAlignment="1" applyProtection="1">
      <x:alignment horizontal="center" vertical="center"/>
      <x:protection locked="0"/>
    </x:xf>
    <x:xf numFmtId="0" fontId="54" fillId="0" borderId="0" xfId="0" applyFont="1"/>
    <x:xf numFmtId="0" fontId="9" fillId="4" borderId="11" xfId="0" applyFont="1" applyFill="1" applyBorder="1" applyAlignment="1" applyProtection="1">
      <x:alignment horizontal="center" vertical="center"/>
      <x:protection locked="0"/>
    </x:xf>
    <x:xf numFmtId="49" fontId="24" fillId="4" borderId="0" xfId="0" applyNumberFormat="1" applyFont="1" applyFill="1" applyAlignment="1" applyProtection="1">
      <x:alignment horizontal="center" vertical="center"/>
      <x:protection locked="0"/>
    </x:xf>
    <x:xf numFmtId="169" fontId="0" fillId="6" borderId="12" xfId="0" applyNumberFormat="1" applyFill="1" applyBorder="1" applyAlignment="1" applyProtection="1">
      <x:alignment horizontal="center"/>
      <x:protection locked="0"/>
    </x:xf>
    <x:xf numFmtId="165" fontId="9" fillId="4" borderId="0" xfId="0" applyNumberFormat="1" applyFont="1" applyFill="1" applyAlignment="1" applyProtection="1">
      <x:alignment horizontal="right" vertical="center"/>
      <x:protection locked="0"/>
    </x:xf>
    <x:xf numFmtId="165" fontId="9" fillId="4" borderId="0" xfId="0" applyNumberFormat="1" applyFont="1" applyFill="1" applyAlignment="1" applyProtection="1">
      <x:alignment horizontal="center" vertical="center"/>
      <x:protection locked="0"/>
    </x:xf>
    <x:xf numFmtId="165" fontId="9" fillId="4" borderId="0" xfId="0" applyNumberFormat="1" applyFont="1" applyFill="1" applyAlignment="1" applyProtection="1">
      <x:alignment horizontal="left" vertical="center"/>
      <x:protection locked="0"/>
    </x:xf>
    <x:xf numFmtId="1" fontId="0" fillId="4" borderId="7" xfId="0" applyNumberFormat="1" applyFill="1" applyBorder="1" applyAlignment="1" applyProtection="1">
      <x:alignment horizontal="center" vertical="center"/>
      <x:protection locked="0"/>
    </x:xf>
    <x:xf numFmtId="164" fontId="0" fillId="4" borderId="0" xfId="0" applyNumberFormat="1" applyFill="1" applyAlignment="1" applyProtection="1">
      <x:alignment horizontal="center" vertical="center"/>
      <x:protection locked="0"/>
    </x:xf>
    <x:xf numFmtId="49" fontId="0" fillId="4" borderId="0" xfId="0" applyNumberFormat="1" applyFill="1" applyAlignment="1" applyProtection="1">
      <x:alignment vertical="center"/>
      <x:protection locked="0"/>
    </x:xf>
    <x:xf numFmtId="165" fontId="0" fillId="4" borderId="13" xfId="0" applyNumberFormat="1" applyFill="1" applyBorder="1" applyAlignment="1" applyProtection="1">
      <x:alignment horizontal="right" vertical="center"/>
      <x:protection locked="0"/>
    </x:xf>
    <x:xf numFmtId="165" fontId="0" fillId="4" borderId="13" xfId="0" applyNumberFormat="1" applyFill="1" applyBorder="1" applyAlignment="1" applyProtection="1">
      <x:alignment horizontal="center" vertical="center"/>
      <x:protection locked="0"/>
    </x:xf>
    <x:xf numFmtId="165" fontId="0" fillId="4" borderId="1" xfId="0" applyNumberFormat="1" applyFill="1" applyBorder="1" applyAlignment="1" applyProtection="1">
      <x:alignment horizontal="right" vertical="center"/>
      <x:protection locked="0"/>
    </x:xf>
    <x:xf numFmtId="165" fontId="0" fillId="4" borderId="1" xfId="0" applyNumberFormat="1" applyFill="1" applyBorder="1" applyAlignment="1" applyProtection="1">
      <x:alignment horizontal="center" vertical="center"/>
      <x:protection locked="0"/>
    </x:xf>
    <x:xf numFmtId="165" fontId="3" fillId="7" borderId="1" xfId="0" applyNumberFormat="1" applyFont="1" applyFill="1" applyBorder="1" applyAlignment="1" applyProtection="1">
      <x:alignment horizontal="right" vertical="center"/>
      <x:protection locked="0"/>
    </x:xf>
    <x:xf numFmtId="165" fontId="3" fillId="7" borderId="1" xfId="0" applyNumberFormat="1" applyFont="1" applyFill="1" applyBorder="1" applyAlignment="1" applyProtection="1">
      <x:alignment horizontal="center" vertical="center"/>
      <x:protection locked="0"/>
    </x:xf>
    <x:xf numFmtId="165" fontId="3" fillId="6" borderId="1" xfId="0" applyNumberFormat="1" applyFont="1" applyFill="1" applyBorder="1" applyAlignment="1" applyProtection="1">
      <x:alignment horizontal="right" vertical="center"/>
      <x:protection locked="0"/>
    </x:xf>
    <x:xf numFmtId="165" fontId="3" fillId="6" borderId="1" xfId="0" applyNumberFormat="1" applyFont="1" applyFill="1" applyBorder="1" applyAlignment="1" applyProtection="1">
      <x:alignment horizontal="center" vertical="center"/>
      <x:protection locked="0"/>
    </x:xf>
    <x:xf numFmtId="168" fontId="1" fillId="4" borderId="14" xfId="0" applyNumberFormat="1" applyFont="1" applyFill="1" applyBorder="1" applyAlignment="1" applyProtection="1">
      <x:alignment horizontal="center" vertical="center"/>
      <x:protection locked="0"/>
    </x:xf>
    <x:xf numFmtId="0" fontId="16" fillId="2" borderId="0" xfId="0" applyFont="1" applyFill="1" applyAlignment="1" applyProtection="1">
      <x:alignment horizontal="left" vertical="center" indent="1"/>
      <x:protection locked="0"/>
    </x:xf>
    <x:xf numFmtId="164" fontId="0" fillId="4" borderId="0" xfId="0" applyNumberFormat="1" applyFill="1" applyAlignment="1" applyProtection="1">
      <x:alignment horizontal="center" vertical="center"/>
      <x:protection locked="0"/>
    </x:xf>
    <x:xf numFmtId="0" fontId="2" fillId="4" borderId="0" xfId="0" applyFont="1" applyFill="1" applyAlignment="1" applyProtection="1">
      <x:alignment horizontal="center" vertical="center"/>
      <x:protection locked="0"/>
    </x:xf>
    <x:xf numFmtId="0" fontId="0" fillId="4" borderId="0" xfId="0" applyFill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 vertical="center"/>
    </x:xf>
    <x:xf numFmtId="0" fontId="9" fillId="4" borderId="0" xfId="0" applyFont="1" applyFill="1" applyAlignment="1" applyProtection="1">
      <x:alignment horizontal="left" vertical="center" indent="1"/>
      <x:protection locked="0"/>
    </x:xf>
    <x:xf numFmtId="0" fontId="10" fillId="4" borderId="0" xfId="0" applyFont="1" applyFill="1" applyAlignment="1" applyProtection="1">
      <x:alignment horizontal="left" vertical="center" indent="1"/>
      <x:protection locked="0"/>
    </x:xf>
    <x:xf numFmtId="0" fontId="10" fillId="0" borderId="0" xfId="0" applyFont="1" applyAlignment="1">
      <x:alignment horizontal="center" vertical="center"/>
    </x:xf>
    <x:xf numFmtId="0" fontId="9" fillId="4" borderId="16" xfId="0" applyFont="1" applyFill="1" applyBorder="1" applyAlignment="1" applyProtection="1">
      <x:alignment horizontal="center" vertical="center"/>
      <x:protection locked="0"/>
    </x:xf>
    <x:xf numFmtId="0" fontId="27" fillId="0" borderId="0" xfId="0" applyFont="1"/>
    <x:xf numFmtId="0" fontId="31" fillId="4" borderId="0" xfId="0" applyFont="1" applyFill="1" applyAlignment="1" applyProtection="1">
      <x:alignment horizontal="center" vertical="center"/>
      <x:protection locked="0"/>
    </x:xf>
    <x:xf numFmtId="0" fontId="49" fillId="4" borderId="0" xfId="0" applyFont="1" applyFill="1" applyAlignment="1" applyProtection="1">
      <x:alignment horizontal="left" vertical="center" indent="2"/>
      <x:protection locked="0"/>
    </x:xf>
    <x:xf numFmtId="0" fontId="49" fillId="4" borderId="0" xfId="0" applyFont="1" applyFill="1" applyAlignment="1" applyProtection="1">
      <x:alignment horizontal="center" vertical="center"/>
      <x:protection locked="0"/>
    </x:xf>
    <x:xf numFmtId="49" fontId="19" fillId="4" borderId="0" xfId="0" applyNumberFormat="1" applyFont="1" applyFill="1" applyAlignment="1" applyProtection="1">
      <x:alignment horizontal="center" vertical="center"/>
      <x:protection locked="0"/>
    </x:xf>
    <x:xf numFmtId="0" fontId="0" fillId="0" borderId="0" xfId="0" applyAlignment="1">
      <x:alignment horizontal="center" vertical="center"/>
    </x:xf>
    <x:xf numFmtId="0" fontId="0" fillId="0" borderId="0" xfId="0"/>
    <x:xf numFmtId="0" fontId="24" fillId="0" borderId="0" xfId="0" applyFont="1" applyAlignment="1">
      <x:alignment horizontal="left" vertical="center" indent="1"/>
    </x:xf>
    <x:xf numFmtId="0" fontId="0" fillId="0" borderId="0" xfId="0" applyAlignment="1">
      <x:alignment horizontal="left" vertical="center" indent="1"/>
    </x:xf>
    <x:xf numFmtId="0" fontId="9" fillId="0" borderId="0" xfId="0" applyFont="1" applyAlignment="1">
      <x:alignment horizontal="right" vertical="center"/>
    </x:xf>
    <x:xf numFmtId="0" fontId="9" fillId="4" borderId="17" xfId="0" applyFont="1" applyFill="1" applyBorder="1" applyAlignment="1" applyProtection="1">
      <x:alignment horizontal="center" vertical="center"/>
      <x:protection locked="0"/>
    </x:xf>
    <x:xf numFmtId="0" fontId="9" fillId="4" borderId="0" xfId="0" applyFont="1" applyFill="1" applyAlignment="1" applyProtection="1">
      <x:alignment horizontal="center" vertical="center"/>
      <x:protection locked="0"/>
    </x:xf>
    <x:xf numFmtId="0" fontId="9" fillId="0" borderId="0" xfId="0" applyFont="1" applyAlignment="1">
      <x:alignment horizontal="center" vertical="top"/>
    </x:xf>
    <x:xf numFmtId="0" fontId="0" fillId="0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right" vertical="center"/>
    </x:xf>
    <x:xf numFmtId="0" fontId="0" fillId="0" borderId="0" xfId="0" applyAlignment="1">
      <x:alignment horizontal="right" vertical="center"/>
    </x:xf>
    <x:xf numFmtId="0" fontId="0" fillId="2" borderId="0" xfId="0" applyFill="1" applyAlignment="1" applyProtection="1">
      <x:alignment horizontal="center" vertical="center"/>
      <x:protection locked="0"/>
    </x:xf>
    <x:xf numFmtId="0" fontId="10" fillId="0" borderId="0" xfId="0" applyFont="1" applyAlignment="1">
      <x:alignment horizontal="left" vertical="center" indent="1"/>
    </x:xf>
    <x:xf numFmtId="0" fontId="9" fillId="0" borderId="0" xfId="0" applyFont="1" applyAlignment="1">
      <x:alignment horizontal="left" vertical="center" indent="1"/>
    </x:xf>
    <x:xf numFmtId="168" fontId="1" fillId="7" borderId="1" xfId="0" applyNumberFormat="1" applyFont="1" applyFill="1" applyBorder="1" applyAlignment="1" applyProtection="1">
      <x:alignment horizontal="center" vertical="center"/>
      <x:protection locked="0"/>
    </x:xf>
    <x:xf numFmtId="49" fontId="9" fillId="2" borderId="13" xfId="0" applyNumberFormat="1" applyFont="1" applyFill="1" applyBorder="1" applyAlignment="1" applyProtection="1">
      <x:alignment horizontal="left" vertical="center" indent="1"/>
      <x:protection locked="0"/>
    </x:xf>
    <x:xf numFmtId="0" fontId="2" fillId="4" borderId="6" xfId="0" applyFont="1" applyFill="1" applyBorder="1" applyAlignment="1" applyProtection="1">
      <x:alignment horizontal="left" vertical="center"/>
      <x:protection locked="0"/>
    </x:xf>
    <x:xf numFmtId="0" fontId="2" fillId="4" borderId="0" xfId="0" applyFont="1" applyFill="1" applyAlignment="1" applyProtection="1">
      <x:alignment horizontal="left" vertical="center"/>
      <x:protection locked="0"/>
    </x:xf>
    <x:xf numFmtId="0" fontId="0" fillId="0" borderId="15" xfId="0" applyBorder="1" applyAlignment="1">
      <x:alignment horizontal="center" vertical="center"/>
    </x:xf>
    <x:xf numFmtId="0" fontId="10" fillId="0" borderId="0" xfId="0" applyFont="1" applyAlignment="1">
      <x:alignment horizontal="right" vertical="center"/>
    </x:xf>
    <x:xf numFmtId="0" fontId="1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6" fontId="0" fillId="4" borderId="1" xfId="0" applyNumberFormat="1" applyFill="1" applyBorder="1" applyAlignment="1" applyProtection="1">
      <x:alignment horizontal="left" vertical="center"/>
      <x:protection locked="0"/>
    </x:xf>
    <x:xf numFmtId="166" fontId="0" fillId="2" borderId="1" xfId="0" applyNumberFormat="1" applyFill="1" applyBorder="1" applyAlignment="1" applyProtection="1">
      <x:alignment horizontal="left" vertical="center"/>
      <x:protection locked="0"/>
    </x:xf>
    <x:xf numFmtId="0" fontId="19" fillId="0" borderId="0" xfId="0" applyFont="1" applyAlignment="1">
      <x:alignment horizontal="right" vertical="center"/>
    </x:xf>
    <x:xf numFmtId="168" fontId="1" fillId="6" borderId="1" xfId="0" applyNumberFormat="1" applyFont="1" applyFill="1" applyBorder="1" applyAlignment="1" applyProtection="1">
      <x:alignment horizontal="center" vertical="center"/>
      <x:protection locked="0"/>
    </x:xf>
    <x:xf numFmtId="49" fontId="0" fillId="0" borderId="13" xfId="0" applyNumberFormat="1" applyBorder="1" applyAlignment="1">
      <x:alignment horizontal="center" vertical="center"/>
    </x:xf>
    <x:xf numFmtId="0" fontId="9" fillId="0" borderId="0" xfId="0" applyFont="1" applyAlignment="1">
      <x:alignment horizontal="left" vertical="center"/>
    </x:xf>
    <x:xf numFmtId="166" fontId="0" fillId="4" borderId="13" xfId="0" applyNumberFormat="1" applyFill="1" applyBorder="1" applyAlignment="1" applyProtection="1">
      <x:alignment horizontal="left" vertical="center"/>
      <x:protection locked="0"/>
    </x:xf>
    <x:xf numFmtId="0" fontId="2" fillId="0" borderId="0" xfId="0" applyFont="1" applyAlignment="1">
      <x:alignment horizontal="left" vertical="center"/>
    </x:xf>
    <x:xf numFmtId="166" fontId="3" fillId="6" borderId="1" xfId="0" applyNumberFormat="1" applyFont="1" applyFill="1" applyBorder="1" applyAlignment="1" applyProtection="1">
      <x:alignment horizontal="left" vertical="center"/>
      <x:protection locked="0"/>
    </x:xf>
    <x:xf numFmtId="0" fontId="4" fillId="0" borderId="0" xfId="0" applyFont="1" applyAlignment="1">
      <x:alignment horizontal="center" vertical="center"/>
    </x:xf>
    <x:xf numFmtId="0" fontId="6" fillId="0" borderId="0" xfId="0" applyFont="1" applyAlignment="1">
      <x:alignment horizontal="right" vertical="center"/>
    </x:xf>
    <x:xf numFmtId="0" fontId="35" fillId="0" borderId="0" xfId="0" applyFont="1" applyAlignment="1">
      <x:alignment horizontal="right"/>
    </x:xf>
    <x:xf numFmtId="0" fontId="49" fillId="0" borderId="0" xfId="0" applyFont="1" applyAlignment="1">
      <x:alignment horizontal="right"/>
    </x:xf>
    <x:xf numFmtId="0" fontId="49" fillId="4" borderId="15" xfId="0" applyFont="1" applyFill="1" applyBorder="1" applyAlignment="1" applyProtection="1">
      <x:alignment horizontal="left" indent="3"/>
      <x:protection locked="0"/>
    </x:xf>
    <x:xf numFmtId="0" fontId="52" fillId="0" borderId="0" xfId="0" applyFont="1" applyAlignment="1">
      <x:alignment horizontal="left" vertical="center"/>
    </x:xf>
    <x:xf numFmtId="0" fontId="24" fillId="0" borderId="0" xfId="0" applyFont="1" applyAlignment="1">
      <x:alignment horizontal="left" vertical="center"/>
    </x:xf>
    <x:xf numFmtId="0" fontId="15" fillId="0" borderId="0" xfId="0" applyFont="1" applyAlignment="1">
      <x:alignment horizontal="right" vertical="center"/>
    </x:xf>
    <x:xf numFmtId="0" fontId="2" fillId="0" borderId="0" xfId="0" applyFont="1" applyAlignment="1">
      <x:alignment horizontal="center"/>
    </x:xf>
    <x:xf numFmtId="49" fontId="9" fillId="4" borderId="0" xfId="0" applyNumberFormat="1" applyFont="1" applyFill="1" applyAlignment="1" applyProtection="1">
      <x:alignment horizontal="center" vertical="center"/>
      <x:protection locked="0"/>
    </x:xf>
    <x:xf numFmtId="0" fontId="0" fillId="0" borderId="0" xfId="0" applyAlignment="1" applyProtection="1">
      <x:alignment horizontal="center" vertical="center"/>
      <x:protection locked="0"/>
    </x:xf>
    <x:xf numFmtId="0" fontId="0" fillId="2" borderId="0" xfId="0" applyFill="1" applyAlignment="1" applyProtection="1">
      <x:alignment horizontal="left" vertical="center" indent="1"/>
      <x:protection locked="0"/>
    </x:xf>
    <x:xf numFmtId="166" fontId="3" fillId="7" borderId="1" xfId="0" applyNumberFormat="1" applyFont="1" applyFill="1" applyBorder="1" applyAlignment="1" applyProtection="1">
      <x:alignment horizontal="left" vertical="center"/>
      <x:protection locked="0"/>
    </x:xf>
    <x:xf numFmtId="49" fontId="0" fillId="0" borderId="0" xfId="0" applyNumberFormat="1" applyAlignment="1">
      <x:alignment horizontal="left" vertical="center" indent="1"/>
    </x:xf>
    <x:xf numFmtId="0" fontId="11" fillId="4" borderId="0" xfId="1" applyFill="1" applyAlignment="1" applyProtection="1">
      <x:alignment horizontal="left" vertical="center" indent="1"/>
      <x:protection locked="0"/>
    </x:xf>
    <x:xf numFmtId="0" fontId="3" fillId="0" borderId="0" xfId="0" applyFont="1" applyAlignment="1">
      <x:alignment horizontal="right" vertical="center"/>
    </x:xf>
    <x:xf numFmtId="0" fontId="9" fillId="0" borderId="0" xfId="0" applyFont="1" applyAlignment="1">
      <x:alignment horizontal="center" vertical="center"/>
    </x:xf>
    <x:xf numFmtId="49" fontId="15" fillId="0" borderId="0" xfId="0" applyNumberFormat="1" applyFont="1" applyAlignment="1">
      <x:alignment horizontal="right" vertical="center"/>
    </x:xf>
    <x:xf numFmtId="0" fontId="15" fillId="0" borderId="0" xfId="0" applyFont="1" applyAlignment="1">
      <x:alignment vertical="center"/>
    </x:xf>
    <x:xf numFmtId="0" fontId="16" fillId="4" borderId="0" xfId="0" applyFont="1" applyFill="1" applyAlignment="1" applyProtection="1">
      <x:alignment horizontal="left" vertical="center" indent="1"/>
      <x:protection locked="0"/>
    </x:xf>
    <x:xf numFmtId="1" fontId="16" fillId="4" borderId="0" xfId="0" applyNumberFormat="1" applyFont="1" applyFill="1" applyAlignment="1" applyProtection="1">
      <x:alignment horizontal="left" vertical="center" indent="1"/>
      <x:protection locked="0"/>
    </x:xf>
    <x:xf numFmtId="0" fontId="21" fillId="0" borderId="0" xfId="0" applyFont="1" applyAlignment="1">
      <x:alignment horizontal="center" vertical="center"/>
    </x:xf>
    <x:xf numFmtId="0" fontId="22" fillId="0" borderId="0" xfId="0" applyFont="1" applyAlignment="1">
      <x:alignment horizontal="center" vertical="center"/>
    </x:xf>
    <x:xf numFmtId="0" fontId="15" fillId="4" borderId="0" xfId="0" applyFont="1" applyFill="1" applyAlignment="1" applyProtection="1">
      <x:alignment horizontal="center" vertical="center"/>
      <x:protection locked="0"/>
    </x:xf>
    <x:xf numFmtId="49" fontId="23" fillId="0" borderId="0" xfId="0" applyNumberFormat="1" applyFont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18" fillId="0" borderId="0" xfId="0" applyFont="1" applyAlignment="1">
      <x:alignment horizontal="center"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6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10" fillId="0" borderId="0" xfId="0" applyFont="1" applyAlignment="1">
      <x:alignment vertical="center"/>
    </x:xf>
    <x:xf numFmtId="0" fontId="16" fillId="0" borderId="0" xfId="0" applyFont="1" applyAlignment="1">
      <x:alignment horizontal="right" vertical="center"/>
    </x:xf>
    <x:xf numFmtId="167" fontId="49" fillId="4" borderId="0" xfId="0" applyNumberFormat="1" applyFont="1" applyFill="1" applyAlignment="1" applyProtection="1">
      <x:alignment horizontal="left" vertical="center" indent="1"/>
      <x:protection locked="0"/>
    </x:xf>
    <x:xf numFmtId="0" fontId="35" fillId="4" borderId="12" xfId="0" applyFont="1" applyFill="1" applyBorder="1" applyAlignment="1" applyProtection="1">
      <x:alignment horizontal="left" vertical="center" indent="1"/>
      <x:protection locked="0"/>
    </x:xf>
    <x:xf numFmtId="0" fontId="9" fillId="4" borderId="12" xfId="0" applyFont="1" applyFill="1" applyBorder="1" applyAlignment="1" applyProtection="1">
      <x:alignment horizontal="left" vertical="center" indent="1"/>
      <x:protection locked="0"/>
    </x:xf>
    <x:xf numFmtId="0" fontId="48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horizontal="left" vertical="center" indent="3"/>
    </x:xf>
    <x:xf numFmtId="0" fontId="27" fillId="0" borderId="0" xfId="0" applyFont="1" applyAlignment="1">
      <x:alignment horizontal="left" vertical="center" indent="3"/>
    </x:xf>
    <x:xf numFmtId="0" fontId="0" fillId="0" borderId="0" xfId="0" applyAlignment="1">
      <x:alignment horizontal="left" vertical="center" indent="2"/>
    </x:xf>
    <x:xf numFmtId="0" fontId="0" fillId="0" borderId="0" xfId="0" applyAlignment="1">
      <x:alignment horizontal="left" indent="3"/>
    </x:xf>
    <x:xf numFmtId="0" fontId="0" fillId="4" borderId="18" xfId="0" applyFill="1" applyBorder="1" applyAlignment="1">
      <x:alignment horizontal="center" vertical="center"/>
    </x:xf>
    <x:xf numFmtId="0" fontId="0" fillId="4" borderId="17" xfId="0" applyFill="1" applyBorder="1" applyAlignment="1">
      <x:alignment horizontal="center" vertical="center"/>
    </x:xf>
    <x:xf numFmtId="0" fontId="0" fillId="4" borderId="19" xfId="0" applyFill="1" applyBorder="1" applyAlignment="1">
      <x:alignment horizontal="center" vertical="center"/>
    </x:xf>
    <x:xf numFmtId="0" fontId="0" fillId="6" borderId="0" xfId="0" applyFill="1" applyAlignment="1">
      <x:alignment horizontal="left" vertical="center" indent="2"/>
    </x:xf>
    <x:xf numFmtId="0" fontId="3" fillId="4" borderId="18" xfId="0" applyFont="1" applyFill="1" applyBorder="1" applyAlignment="1">
      <x:alignment horizontal="center" vertical="center"/>
    </x:xf>
    <x:xf numFmtId="0" fontId="3" fillId="4" borderId="17" xfId="0" applyFont="1" applyFill="1" applyBorder="1" applyAlignment="1">
      <x:alignment horizontal="center" vertical="center"/>
    </x:xf>
    <x:xf numFmtId="0" fontId="3" fillId="4" borderId="19" xfId="0" applyFont="1" applyFill="1" applyBorder="1" applyAlignment="1">
      <x:alignment horizontal="center" vertical="center"/>
    </x:xf>
    <x:xf numFmtId="0" fontId="27" fillId="0" borderId="0" xfId="0" applyFont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0" fillId="6" borderId="0" xfId="0" applyFill="1" applyAlignment="1">
      <x:alignment horizontal="right" vertical="center" indent="2"/>
    </x:xf>
  </x:cellXfs>
  <x:cellStyles count="2">
    <x:cellStyle name="Hyperlink" xfId="1" builtinId="8"/>
    <x:cellStyle name="Normal" xfId="0" builtinId="0"/>
  </x:cellStyles>
  <x:dxfs count="3">
    <x:dxf>
      <x:font>
        <x:color indexed="10"/>
      </x:font>
    </x:dxf>
    <x:dxf>
      <x:font>
        <x:color rgb="FF00B050"/>
      </x:font>
    </x:dxf>
    <x:dxf>
      <x:font>
        <x:color rgb="FFFF0000"/>
      </x:font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stro/RepLoaders/20150426_55576_Amycus_4UCAC_284-157688-/20150426_55576_Amycus_4UCAC_284-157688-Han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ions"/>
      <sheetName val="DATA"/>
      <sheetName val="TABLES"/>
    </sheetNames>
    <sheetDataSet>
      <sheetData sheetId="0" refreshError="1"/>
      <sheetData sheetId="1" refreshError="1"/>
      <sheetData sheetId="2">
        <row r="36">
          <cell r="D36" t="str">
            <v>yes</v>
          </cell>
        </row>
        <row r="37">
          <cell r="D37" t="str">
            <v>no</v>
          </cell>
        </row>
        <row r="38">
          <cell r="D38" t="str">
            <v>maybe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steroidoccultation.com/observations/NA/" TargetMode="External"/><Relationship Id="rId2" Type="http://schemas.openxmlformats.org/officeDocument/2006/relationships/hyperlink" Target="ttp://www.asteroidoccultation.com/observations/NA/Analysis%20of%20Camera%20Delay%20Corrections.pdf" TargetMode="External"/><Relationship Id="rId1" Type="http://schemas.openxmlformats.org/officeDocument/2006/relationships/hyperlink" Target="http://www.dangl.at/ausruest/vid_tim/vid_tim1.ht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7AD4B2D-3173-41F6-BF55-CAB2F3CBC871}" mc:Ignorable="x14ac xr xr2 xr3">
  <x:sheetPr codeName="Sheet2">
    <x:tabColor indexed="60"/>
  </x:sheetPr>
  <x:dimension ref="A1:X163"/>
  <x:sheetViews>
    <x:sheetView showFormulas="1" showGridLines="0" topLeftCell="A29" zoomScale="75" workbookViewId="0">
      <x:selection activeCell="B146" sqref="B146"/>
    </x:sheetView>
  </x:sheetViews>
  <x:sheetFormatPr defaultRowHeight="13.2" x14ac:dyDescent="0.25"/>
  <x:cols>
    <x:col min="1" max="1" width="18.6640625" customWidth="1"/>
    <x:col min="2" max="2" width="86.5546875" customWidth="1"/>
  </x:cols>
  <x:sheetData>
    <x:row r="1" spans="2:17" ht="30" customHeight="1" x14ac:dyDescent="0.25">
      <x:c r="B1" s="91" t="s">
        <x:v>129</x:v>
      </x:c>
      <x:c r="C1" s="80"/>
      <x:c r="D1" s="80"/>
      <x:c r="E1" s="80"/>
      <x:c r="F1" s="80"/>
      <x:c r="G1" s="80"/>
      <x:c r="H1" s="80"/>
      <x:c r="I1" s="80"/>
      <x:c r="J1" s="80"/>
      <x:c r="K1" s="80"/>
      <x:c r="L1" s="80"/>
      <x:c r="M1" s="80"/>
      <x:c r="N1" s="86"/>
      <x:c r="O1" s="86"/>
      <x:c r="P1" s="86"/>
      <x:c r="Q1" s="86"/>
    </x:row>
    <x:row r="2" spans="2:17" ht="20.100000000000001" customHeight="1" x14ac:dyDescent="0.25">
      <x:c r="B2" s="42" t="s">
        <x:v>139</x:v>
      </x:c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</x:row>
    <x:row r="3" spans="2:17" ht="20.100000000000001" customHeight="1" x14ac:dyDescent="0.25">
      <x:c r="B3" s="42" t="s">
        <x:v>232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</x:row>
    <x:row r="4" spans="2:17" ht="20.100000000000001" customHeight="1" x14ac:dyDescent="0.25">
      <x:c r="B4" s="42" t="s">
        <x:v>174</x:v>
      </x:c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</x:row>
    <x:row r="5" spans="2:17" ht="20.100000000000001" customHeight="1" x14ac:dyDescent="0.25">
      <x:c r="B5" s="42" t="s">
        <x:v>233</x:v>
      </x:c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</x:row>
    <x:row r="6" spans="2:17" ht="20.100000000000001" customHeight="1" x14ac:dyDescent="0.25">
      <x:c r="B6" s="42" t="s">
        <x:v>202</x:v>
      </x:c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</x:row>
    <x:row r="7" spans="2:17" ht="20.100000000000001" customHeight="1" x14ac:dyDescent="0.25">
      <x:c r="B7" s="103" t="s">
        <x:v>269</x:v>
      </x:c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</x:row>
    <x:row r="8" spans="2:17" ht="20.100000000000001" customHeight="1" x14ac:dyDescent="0.25">
      <x:c r="B8" s="104" t="s">
        <x:v>270</x:v>
      </x:c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</x:row>
    <x:row r="9" spans="2:17" ht="20.100000000000001" customHeight="1" x14ac:dyDescent="0.25">
      <x:c r="B9" s="147" t="s">
        <x:v>268</x:v>
      </x:c>
      <x:c r="C9" s="147"/>
      <x:c r="D9" s="147"/>
      <x:c r="E9" s="147"/>
      <x:c r="F9" s="147"/>
      <x:c r="G9" s="147"/>
      <x:c r="H9" s="147"/>
      <x:c r="I9" s="147"/>
      <x:c r="J9" s="147"/>
      <x:c r="K9" s="147"/>
      <x:c r="L9" s="147"/>
      <x:c r="M9" s="42"/>
      <x:c r="N9" s="42"/>
      <x:c r="O9" s="42"/>
      <x:c r="P9" s="42"/>
      <x:c r="Q9" s="42"/>
    </x:row>
    <x:row r="10" spans="2:17" ht="20.100000000000001" customHeight="1" x14ac:dyDescent="0.25">
      <x:c r="B10" s="42" t="s">
        <x:v>140</x:v>
      </x:c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</x:row>
    <x:row r="11" spans="2:17" ht="20.100000000000001" customHeight="1" x14ac:dyDescent="0.25">
      <x:c r="B11" s="42" t="s">
        <x:v>130</x:v>
      </x:c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</x:row>
    <x:row r="12" spans="2:17" ht="20.100000000000001" customHeight="1" x14ac:dyDescent="0.25">
      <x:c r="B12" s="42" t="s">
        <x:v>271</x:v>
      </x:c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</x:row>
    <x:row r="13" spans="2:17" ht="20.100000000000001" customHeight="1" x14ac:dyDescent="0.25">
      <x:c r="B13" s="42" t="s">
        <x:v>272</x:v>
      </x:c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</x:row>
    <x:row r="14" spans="2:17" ht="20.100000000000001" customHeight="1" x14ac:dyDescent="0.25">
      <x:c r="B14" s="42" t="s">
        <x:v>234</x:v>
      </x:c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</x:row>
    <x:row r="15" spans="2:17" ht="20.100000000000001" customHeight="1" x14ac:dyDescent="0.25">
      <x:c r="B15" s="42" t="s">
        <x:v>147</x:v>
      </x:c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</x:row>
    <x:row r="16" spans="2:17" ht="20.100000000000001" customHeight="1" x14ac:dyDescent="0.25"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</x:row>
    <x:row r="17" spans="1:17" ht="20.100000000000001" customHeight="1" x14ac:dyDescent="0.25">
      <x:c r="B17" s="42" t="s">
        <x:v>192</x:v>
      </x:c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</x:row>
    <x:row r="18" spans="1:17" ht="20.100000000000001" customHeight="1" x14ac:dyDescent="0.25">
      <x:c r="B18" s="50" t="s">
        <x:v>203</x:v>
      </x:c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</x:row>
    <x:row r="19" spans="1:17" ht="20.100000000000001" customHeight="1" x14ac:dyDescent="0.25">
      <x:c r="B19" s="42" t="s">
        <x:v>141</x:v>
      </x:c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</x:row>
    <x:row r="20" spans="1:17" ht="20.100000000000001" customHeight="1" x14ac:dyDescent="0.25">
      <x:c r="B20" s="42" t="s">
        <x:v>235</x:v>
      </x:c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</x:row>
    <x:row r="21" spans="1:17" ht="20.100000000000001" customHeight="1" x14ac:dyDescent="0.25">
      <x:c r="B21" s="42" t="s">
        <x:v>193</x:v>
      </x:c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</x:row>
    <x:row r="22" spans="1:17" ht="20.100000000000001" customHeight="1" x14ac:dyDescent="0.25">
      <x:c r="B22" s="42" t="s">
        <x:v>236</x:v>
      </x:c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</x:row>
    <x:row r="23" spans="1:17" ht="20.100000000000001" customHeight="1" x14ac:dyDescent="0.25"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</x:row>
    <x:row r="24" spans="1:17" ht="20.100000000000001" customHeight="1" x14ac:dyDescent="0.25">
      <x:c r="B24" s="42" t="s">
        <x:v>204</x:v>
      </x:c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</x:row>
    <x:row r="25" spans="1:17" ht="20.100000000000001" customHeight="1" x14ac:dyDescent="0.25">
      <x:c r="B25" s="42" t="s">
        <x:v>237</x:v>
      </x:c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</x:row>
    <x:row r="26" spans="1:17" ht="20.100000000000001" customHeight="1" x14ac:dyDescent="0.25"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</x:row>
    <x:row r="27" spans="1:17" ht="20.100000000000001" customHeight="1" x14ac:dyDescent="0.25">
      <x:c r="B27" s="42" t="s">
        <x:v>205</x:v>
      </x:c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</x:row>
    <x:row r="28" spans="1:17" ht="20.100000000000001" customHeight="1" x14ac:dyDescent="0.25"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</x:row>
    <x:row r="29" spans="1:17" ht="20.100000000000001" customHeight="1" x14ac:dyDescent="0.25">
      <x:c r="B29" s="42" t="s">
        <x:v>206</x:v>
      </x:c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</x:row>
    <x:row r="30" spans="1:17" ht="20.100000000000001" customHeight="1" x14ac:dyDescent="0.25">
      <x:c r="B30" s="42" t="s">
        <x:v>207</x:v>
      </x:c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</x:row>
    <x:row r="31" spans="1:17" ht="20.100000000000001" customHeight="1" x14ac:dyDescent="0.25">
      <x:c r="B31" s="42" t="s">
        <x:v>208</x:v>
      </x:c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</x:row>
    <x:row r="32" spans="1:17" ht="20.100000000000001" customHeight="1" x14ac:dyDescent="0.3">
      <x:c r="A32" s="57"/>
      <x:c r="B32" s="42" t="s">
        <x:v>281</x:v>
      </x:c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</x:row>
    <x:row r="33" spans="2:17" ht="20.100000000000001" customHeight="1" x14ac:dyDescent="0.25">
      <x:c r="B33" s="42" t="s">
        <x:v>194</x:v>
      </x:c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</x:row>
    <x:row r="34" spans="2:17" ht="20.100000000000001" customHeight="1" x14ac:dyDescent="0.25"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</x:row>
    <x:row r="35" spans="2:17" ht="20.100000000000001" customHeight="1" x14ac:dyDescent="0.25">
      <x:c r="B35" s="50" t="s">
        <x:v>209</x:v>
      </x:c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</x:row>
    <x:row r="36" spans="2:17" ht="20.100000000000001" customHeight="1" x14ac:dyDescent="0.25">
      <x:c r="B36" s="50" t="s">
        <x:v>238</x:v>
      </x:c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</x:row>
    <x:row r="37" spans="2:17" ht="20.100000000000001" customHeight="1" x14ac:dyDescent="0.25">
      <x:c r="B37" s="42" t="s">
        <x:v>239</x:v>
      </x:c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</x:row>
    <x:row r="38" spans="2:17" ht="20.100000000000001" customHeight="1" x14ac:dyDescent="0.25">
      <x:c r="B38" s="42" t="s">
        <x:v>197</x:v>
      </x:c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</x:row>
    <x:row r="39" spans="2:17" ht="20.100000000000001" customHeight="1" x14ac:dyDescent="0.25">
      <x:c r="B39" s="42" t="s">
        <x:v>198</x:v>
      </x:c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</x:row>
    <x:row r="40" spans="2:17" ht="20.100000000000001" customHeight="1" x14ac:dyDescent="0.25">
      <x:c r="B40" s="42" t="s">
        <x:v>199</x:v>
      </x:c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</x:row>
    <x:row r="41" spans="2:17" ht="20.100000000000001" customHeight="1" x14ac:dyDescent="0.25">
      <x:c r="B41" s="50" t="s">
        <x:v>210</x:v>
      </x:c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</x:row>
    <x:row r="42" spans="2:17" ht="20.100000000000001" customHeight="1" x14ac:dyDescent="0.25">
      <x:c r="B42" s="42" t="s">
        <x:v>211</x:v>
      </x:c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</x:row>
    <x:row r="43" spans="2:17" ht="20.100000000000001" customHeight="1" x14ac:dyDescent="0.25">
      <x:c r="B43" s="42" t="s">
        <x:v>142</x:v>
      </x:c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</x:row>
    <x:row r="44" spans="2:17" ht="20.100000000000001" customHeight="1" x14ac:dyDescent="0.25">
      <x:c r="B44" s="42" t="s">
        <x:v>143</x:v>
      </x:c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</x:row>
    <x:row r="45" spans="2:17" ht="20.100000000000001" customHeight="1" x14ac:dyDescent="0.25">
      <x:c r="B45" s="42" t="s">
        <x:v>212</x:v>
      </x:c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</x:row>
    <x:row r="46" spans="2:17" ht="20.100000000000001" customHeight="1" x14ac:dyDescent="0.25">
      <x:c r="B46" s="42" t="s">
        <x:v>213</x:v>
      </x:c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</x:row>
    <x:row r="47" spans="2:17" ht="20.100000000000001" customHeight="1" x14ac:dyDescent="0.25">
      <x:c r="B47" s="42" t="s">
        <x:v>214</x:v>
      </x:c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</x:row>
    <x:row r="48" spans="2:17" ht="20.100000000000001" customHeight="1" x14ac:dyDescent="0.25">
      <x:c r="B48" s="42" t="s">
        <x:v>240</x:v>
      </x:c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</x:row>
    <x:row r="49" spans="1:17" ht="20.100000000000001" customHeight="1" x14ac:dyDescent="0.25"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</x:row>
    <x:row r="50" spans="1:17" ht="20.100000000000001" customHeight="1" x14ac:dyDescent="0.25">
      <x:c r="B50" s="50" t="s">
        <x:v>215</x:v>
      </x:c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</x:row>
    <x:row r="51" spans="1:17" ht="20.100000000000001" customHeight="1" x14ac:dyDescent="0.25">
      <x:c r="B51" s="42" t="s">
        <x:v>216</x:v>
      </x:c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</x:row>
    <x:row r="52" spans="1:17" ht="20.100000000000001" customHeight="1" x14ac:dyDescent="0.25">
      <x:c r="B52" s="42" t="s">
        <x:v>217</x:v>
      </x:c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</x:row>
    <x:row r="53" spans="1:17" ht="20.100000000000001" customHeight="1" x14ac:dyDescent="0.25">
      <x:c r="B53" s="42" t="s">
        <x:v>218</x:v>
      </x:c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</x:row>
    <x:row r="54" spans="1:17" ht="20.100000000000001" customHeight="1" x14ac:dyDescent="0.25"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</x:row>
    <x:row r="55" spans="1:17" ht="20.100000000000001" customHeight="1" x14ac:dyDescent="0.25">
      <x:c r="B55" s="50" t="s">
        <x:v>241</x:v>
      </x:c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</x:row>
    <x:row r="56" spans="1:17" ht="20.100000000000001" customHeight="1" x14ac:dyDescent="0.25">
      <x:c r="B56" s="50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</x:row>
    <x:row r="57" spans="1:17" ht="20.100000000000001" customHeight="1" x14ac:dyDescent="0.3">
      <x:c r="A57" s="87" t="s">
        <x:v>274</x:v>
      </x:c>
      <x:c r="B57" s="49" t="s">
        <x:v>280</x:v>
      </x:c>
      <x:c r="C57" s="49"/>
      <x:c r="D57" s="49"/>
      <x:c r="E57" s="49"/>
      <x:c r="F57" s="49"/>
      <x:c r="G57" s="49"/>
      <x:c r="H57" s="49"/>
      <x:c r="I57" s="49"/>
      <x:c r="J57" s="49"/>
      <x:c r="K57" s="46"/>
      <x:c r="L57" s="46"/>
      <x:c r="M57" s="46"/>
      <x:c r="N57" s="46"/>
      <x:c r="O57" s="46"/>
      <x:c r="P57" s="46"/>
      <x:c r="Q57" s="46"/>
    </x:row>
    <x:row r="58" spans="1:17" ht="20.100000000000001" customHeight="1" x14ac:dyDescent="0.25">
      <x:c r="A58" s="88"/>
      <x:c r="B58" s="49" t="s">
        <x:v>242</x:v>
      </x:c>
      <x:c r="C58" s="49"/>
      <x:c r="D58" s="49"/>
      <x:c r="E58" s="49"/>
      <x:c r="F58" s="49"/>
      <x:c r="G58" s="49"/>
      <x:c r="H58" s="49"/>
      <x:c r="I58" s="49"/>
      <x:c r="J58" s="49"/>
      <x:c r="K58" s="46"/>
      <x:c r="L58" s="46"/>
      <x:c r="M58" s="46"/>
      <x:c r="N58" s="46"/>
      <x:c r="O58" s="46"/>
      <x:c r="P58" s="46"/>
      <x:c r="Q58" s="46"/>
    </x:row>
    <x:row r="59" spans="1:17" ht="25.5" customHeight="1" x14ac:dyDescent="0.25">
      <x:c r="A59" s="88"/>
      <x:c r="B59" s="49" t="s">
        <x:v>219</x:v>
      </x:c>
      <x:c r="C59" s="49"/>
      <x:c r="D59" s="49"/>
      <x:c r="E59" s="49"/>
      <x:c r="F59" s="49"/>
      <x:c r="G59" s="49"/>
      <x:c r="H59" s="49"/>
      <x:c r="I59" s="49"/>
      <x:c r="J59" s="49"/>
      <x:c r="K59" s="46"/>
      <x:c r="L59" s="46"/>
      <x:c r="M59" s="46"/>
      <x:c r="N59" s="46"/>
      <x:c r="O59" s="46"/>
      <x:c r="P59" s="46"/>
      <x:c r="Q59" s="46"/>
    </x:row>
    <x:row r="60" spans="1:17" ht="25.5" customHeight="1" x14ac:dyDescent="0.25">
      <x:c r="A60" s="88"/>
      <x:c r="B60" s="49" t="s">
        <x:v>262</x:v>
      </x:c>
      <x:c r="C60" s="49"/>
      <x:c r="D60" s="49"/>
      <x:c r="E60" s="49"/>
      <x:c r="F60" s="49"/>
      <x:c r="G60" s="49"/>
      <x:c r="H60" s="49"/>
      <x:c r="I60" s="49"/>
      <x:c r="J60" s="49"/>
      <x:c r="K60" s="46"/>
      <x:c r="L60" s="46"/>
      <x:c r="M60" s="46"/>
      <x:c r="N60" s="46"/>
      <x:c r="O60" s="46"/>
      <x:c r="P60" s="46"/>
      <x:c r="Q60" s="46"/>
    </x:row>
    <x:row r="61" spans="1:17" ht="81" customHeight="1" x14ac:dyDescent="0.25">
      <x:c r="A61" s="88"/>
      <x:c r="B61" s="98" t="s">
        <x:v>263</x:v>
      </x:c>
      <x:c r="C61" s="49"/>
      <x:c r="D61" s="49"/>
      <x:c r="E61" s="49"/>
      <x:c r="F61" s="49"/>
      <x:c r="G61" s="49"/>
      <x:c r="H61" s="49"/>
      <x:c r="I61" s="49"/>
      <x:c r="J61" s="49"/>
      <x:c r="K61" s="46"/>
      <x:c r="L61" s="46"/>
      <x:c r="M61" s="46"/>
      <x:c r="N61" s="46"/>
      <x:c r="O61" s="46"/>
      <x:c r="P61" s="46"/>
      <x:c r="Q61" s="46"/>
    </x:row>
    <x:row r="62" spans="1:17" ht="25.5" customHeight="1" x14ac:dyDescent="0.25">
      <x:c r="A62" s="88"/>
      <x:c r="B62" s="49" t="s">
        <x:v>220</x:v>
      </x:c>
      <x:c r="C62" s="49"/>
      <x:c r="D62" s="49"/>
      <x:c r="E62" s="49"/>
      <x:c r="F62" s="49"/>
      <x:c r="G62" s="49"/>
      <x:c r="H62" s="49"/>
      <x:c r="I62" s="49"/>
      <x:c r="J62" s="49"/>
      <x:c r="K62" s="46"/>
      <x:c r="L62" s="46"/>
      <x:c r="M62" s="46"/>
      <x:c r="N62" s="46"/>
      <x:c r="O62" s="46"/>
      <x:c r="P62" s="46"/>
      <x:c r="Q62" s="46"/>
    </x:row>
    <x:row r="63" spans="1:17" ht="25.5" customHeight="1" x14ac:dyDescent="0.25">
      <x:c r="A63" s="88"/>
      <x:c r="B63" s="49" t="s">
        <x:v>200</x:v>
      </x:c>
      <x:c r="C63" s="49"/>
      <x:c r="D63" s="49"/>
      <x:c r="E63" s="49"/>
      <x:c r="F63" s="49"/>
      <x:c r="G63" s="49"/>
      <x:c r="H63" s="49"/>
      <x:c r="I63" s="49"/>
      <x:c r="J63" s="49"/>
      <x:c r="K63" s="46"/>
      <x:c r="L63" s="46"/>
      <x:c r="M63" s="46"/>
      <x:c r="N63" s="46"/>
      <x:c r="O63" s="46"/>
      <x:c r="P63" s="46"/>
      <x:c r="Q63" s="46"/>
    </x:row>
    <x:row r="64" spans="1:17" ht="25.5" customHeight="1" x14ac:dyDescent="0.25">
      <x:c r="A64" s="88"/>
      <x:c r="B64" s="46" t="s">
        <x:v>249</x:v>
      </x:c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</x:row>
    <x:row r="65" spans="1:17" ht="25.5" customHeight="1" x14ac:dyDescent="0.3">
      <x:c r="B65" s="92" t="s">
        <x:v>243</x:v>
      </x:c>
      <x:c r="C65" s="90"/>
      <x:c r="D65" s="90"/>
      <x:c r="E65" s="90"/>
      <x:c r="F65" s="90"/>
      <x:c r="G65" s="90"/>
      <x:c r="H65" s="90"/>
      <x:c r="I65" s="90"/>
      <x:c r="K65" s="46"/>
      <x:c r="L65" s="46"/>
      <x:c r="M65" s="46"/>
      <x:c r="N65" s="46"/>
      <x:c r="O65" s="46"/>
      <x:c r="P65" s="46"/>
      <x:c r="Q65" s="46"/>
    </x:row>
    <x:row r="66" spans="1:17" ht="25.5" customHeight="1" x14ac:dyDescent="0.3">
      <x:c r="B66" s="92" t="s">
        <x:v>248</x:v>
      </x:c>
      <x:c r="C66" s="90"/>
      <x:c r="D66" s="90"/>
      <x:c r="E66" s="90"/>
      <x:c r="F66" s="90"/>
      <x:c r="G66" s="90"/>
      <x:c r="H66" s="90"/>
      <x:c r="I66" s="90"/>
      <x:c r="K66" s="46"/>
      <x:c r="L66" s="46"/>
      <x:c r="M66" s="46"/>
      <x:c r="N66" s="46"/>
      <x:c r="O66" s="46"/>
      <x:c r="P66" s="46"/>
      <x:c r="Q66" s="46"/>
    </x:row>
    <x:row r="67" spans="1:17" ht="25.5" customHeight="1" x14ac:dyDescent="0.3">
      <x:c r="B67" s="92"/>
      <x:c r="C67" s="90"/>
      <x:c r="D67" s="90"/>
      <x:c r="E67" s="90"/>
      <x:c r="F67" s="90"/>
      <x:c r="G67" s="90"/>
      <x:c r="H67" s="90"/>
      <x:c r="I67" s="90"/>
      <x:c r="K67" s="46"/>
      <x:c r="L67" s="46"/>
      <x:c r="M67" s="46"/>
      <x:c r="N67" s="46"/>
      <x:c r="O67" s="46"/>
      <x:c r="P67" s="46"/>
      <x:c r="Q67" s="46"/>
    </x:row>
    <x:row r="68" spans="1:17" ht="20.100000000000001" customHeight="1" x14ac:dyDescent="0.3">
      <x:c r="A68" s="88"/>
      <x:c r="B68" s="73" t="s">
        <x:v>173</x:v>
      </x:c>
      <x:c r="K68" s="46"/>
      <x:c r="L68" s="46"/>
      <x:c r="M68" s="46"/>
      <x:c r="N68" s="46"/>
      <x:c r="O68" s="46"/>
      <x:c r="P68" s="46"/>
      <x:c r="Q68" s="46"/>
    </x:row>
    <x:row r="69" spans="1:17" ht="20.100000000000001" customHeight="1" x14ac:dyDescent="0.3">
      <x:c r="A69" s="88"/>
      <x:c r="B69" s="61" t="s">
        <x:v>275</x:v>
      </x:c>
      <x:c r="K69" s="46"/>
      <x:c r="L69" s="46"/>
      <x:c r="M69" s="46"/>
      <x:c r="N69" s="46"/>
      <x:c r="O69" s="46"/>
      <x:c r="P69" s="46"/>
      <x:c r="Q69" s="46"/>
    </x:row>
    <x:row r="70" spans="1:17" ht="20.100000000000001" customHeight="1" x14ac:dyDescent="0.25">
      <x:c r="A70" s="94"/>
      <x:c r="B70" s="93" t="s">
        <x:v>276</x:v>
      </x:c>
      <x:c r="L70" s="46"/>
      <x:c r="M70" s="46"/>
      <x:c r="N70" s="46"/>
      <x:c r="O70" s="46"/>
      <x:c r="P70" s="46"/>
      <x:c r="Q70" s="46"/>
    </x:row>
    <x:row r="71" spans="1:17" ht="20.100000000000001" customHeight="1" x14ac:dyDescent="0.3">
      <x:c r="A71" s="94"/>
      <x:c r="B71" s="89" t="s">
        <x:v>277</x:v>
      </x:c>
      <x:c r="L71" s="46"/>
      <x:c r="M71" s="46"/>
      <x:c r="N71" s="46"/>
      <x:c r="O71" s="46"/>
      <x:c r="P71" s="46"/>
      <x:c r="Q71" s="46"/>
    </x:row>
    <x:row r="72" spans="1:17" ht="20.100000000000001" customHeight="1" x14ac:dyDescent="0.3">
      <x:c r="A72" s="95"/>
      <x:c r="B72" s="89" t="s">
        <x:v>278</x:v>
      </x:c>
      <x:c r="L72" s="46"/>
      <x:c r="M72" s="46"/>
      <x:c r="N72" s="46"/>
      <x:c r="O72" s="46"/>
      <x:c r="P72" s="46"/>
      <x:c r="Q72" s="46"/>
    </x:row>
    <x:row r="73" spans="1:17" ht="20.100000000000001" customHeight="1" x14ac:dyDescent="0.3">
      <x:c r="A73" s="95"/>
      <x:c r="B73" s="96" t="s">
        <x:v>244</x:v>
      </x:c>
      <x:c r="L73" s="46"/>
      <x:c r="M73" s="46"/>
      <x:c r="N73" s="46"/>
      <x:c r="O73" s="46"/>
      <x:c r="P73" s="46"/>
      <x:c r="Q73" s="46"/>
    </x:row>
    <x:row r="74" spans="1:17" ht="20.100000000000001" customHeight="1" x14ac:dyDescent="0.3">
      <x:c r="A74" s="72"/>
      <x:c r="B74" s="89" t="s">
        <x:v>201</x:v>
      </x:c>
      <x:c r="L74" s="46"/>
      <x:c r="M74" s="46"/>
      <x:c r="N74" s="46"/>
      <x:c r="O74" s="46"/>
      <x:c r="P74" s="46"/>
      <x:c r="Q74" s="46"/>
    </x:row>
    <x:row r="75" spans="1:17" ht="20.100000000000001" customHeight="1" x14ac:dyDescent="0.3">
      <x:c r="B75" s="61" t="s">
        <x:v>169</x:v>
      </x:c>
      <x:c r="L75" s="46"/>
      <x:c r="M75" s="46"/>
      <x:c r="N75" s="46"/>
      <x:c r="O75" s="46"/>
      <x:c r="P75" s="46"/>
      <x:c r="Q75" s="46"/>
    </x:row>
    <x:row r="76" spans="1:17" ht="20.100000000000001" customHeight="1" x14ac:dyDescent="0.3">
      <x:c r="B76" s="73" t="s">
        <x:v>245</x:v>
      </x:c>
      <x:c r="L76" s="46"/>
      <x:c r="M76" s="46"/>
      <x:c r="N76" s="46"/>
      <x:c r="O76" s="46"/>
      <x:c r="P76" s="46"/>
      <x:c r="Q76" s="46"/>
    </x:row>
    <x:row r="77" spans="1:17" ht="20.100000000000001" customHeight="1" x14ac:dyDescent="0.3">
      <x:c r="A77" s="53"/>
      <x:c r="B77" s="61" t="s">
        <x:v>170</x:v>
      </x:c>
      <x:c r="L77" s="46"/>
      <x:c r="M77" s="46"/>
      <x:c r="N77" s="46"/>
      <x:c r="O77" s="46"/>
      <x:c r="P77" s="46"/>
      <x:c r="Q77" s="46"/>
    </x:row>
    <x:row r="78" spans="1:17" ht="20.100000000000001" customHeight="1" x14ac:dyDescent="0.25">
      <x:c r="A78" s="53"/>
      <x:c r="B78" s="49" t="s">
        <x:v>246</x:v>
      </x:c>
      <x:c r="L78" s="46"/>
      <x:c r="M78" s="46"/>
      <x:c r="N78" s="46"/>
      <x:c r="O78" s="46"/>
      <x:c r="P78" s="46"/>
      <x:c r="Q78" s="46"/>
    </x:row>
    <x:row r="79" spans="1:17" ht="20.100000000000001" customHeight="1" x14ac:dyDescent="0.25">
      <x:c r="A79" s="53"/>
      <x:c r="B79" s="49" t="s">
        <x:v>247</x:v>
      </x:c>
      <x:c r="L79" s="46"/>
      <x:c r="M79" s="46"/>
      <x:c r="N79" s="46"/>
      <x:c r="O79" s="46"/>
      <x:c r="P79" s="46"/>
      <x:c r="Q79" s="46"/>
    </x:row>
    <x:row r="80" spans="1:17" ht="20.100000000000001" customHeight="1" x14ac:dyDescent="0.3">
      <x:c r="A80" s="53"/>
      <x:c r="B80" s="51" t="s">
        <x:v>250</x:v>
      </x:c>
      <x:c r="L80" s="46"/>
      <x:c r="M80" s="46"/>
      <x:c r="N80" s="46"/>
      <x:c r="O80" s="46"/>
      <x:c r="P80" s="46"/>
      <x:c r="Q80" s="46"/>
    </x:row>
    <x:row r="81" spans="1:24" ht="20.100000000000001" customHeight="1" x14ac:dyDescent="0.3">
      <x:c r="A81" s="53"/>
      <x:c r="B81" s="89" t="s">
        <x:v>273</x:v>
      </x:c>
      <x:c r="E81" s="89"/>
      <x:c r="F81" s="89"/>
      <x:c r="G81" s="89"/>
      <x:c r="H81" s="89"/>
      <x:c r="I81" s="89"/>
      <x:c r="J81" s="89"/>
      <x:c r="K81" s="89"/>
      <x:c r="L81" s="46"/>
      <x:c r="M81" s="46"/>
      <x:c r="N81" s="46"/>
      <x:c r="O81" s="46"/>
      <x:c r="P81" s="46"/>
      <x:c r="Q81" s="46"/>
    </x:row>
    <x:row r="82" spans="1:24" ht="20.100000000000001" customHeight="1" x14ac:dyDescent="0.3">
      <x:c r="A82" s="53"/>
      <x:c r="B82" s="55" t="s">
        <x:v>175</x:v>
      </x:c>
      <x:c r="D82" s="89"/>
      <x:c r="E82" s="89"/>
      <x:c r="F82" s="89"/>
      <x:c r="G82" s="89"/>
      <x:c r="H82" s="89"/>
      <x:c r="I82" s="89"/>
      <x:c r="J82" s="89"/>
      <x:c r="K82" s="89"/>
      <x:c r="L82" s="46"/>
      <x:c r="M82" s="46"/>
      <x:c r="N82" s="46"/>
      <x:c r="O82" s="46"/>
      <x:c r="P82" s="46"/>
      <x:c r="Q82" s="46"/>
    </x:row>
    <x:row r="83" spans="1:24" ht="20.100000000000001" customHeight="1" x14ac:dyDescent="0.3">
      <x:c r="A83" s="53"/>
      <x:c r="B83" s="89" t="s">
        <x:v>185</x:v>
      </x:c>
      <x:c r="E83" s="89"/>
      <x:c r="F83" s="89"/>
      <x:c r="G83" s="89"/>
      <x:c r="H83" s="89"/>
      <x:c r="I83" s="89"/>
      <x:c r="J83" s="89"/>
      <x:c r="K83" s="89"/>
      <x:c r="L83" s="46"/>
      <x:c r="M83" s="46"/>
      <x:c r="N83" s="46"/>
      <x:c r="O83" s="46"/>
      <x:c r="P83" s="46"/>
      <x:c r="Q83" s="46"/>
    </x:row>
    <x:row r="84" spans="1:24" ht="20.100000000000001" customHeight="1" x14ac:dyDescent="0.3">
      <x:c r="A84" s="53"/>
      <x:c r="B84" s="89" t="s">
        <x:v>251</x:v>
      </x:c>
      <x:c r="E84" s="89"/>
      <x:c r="F84" s="89"/>
      <x:c r="G84" s="89"/>
      <x:c r="H84" s="89"/>
      <x:c r="I84" s="89"/>
      <x:c r="J84" s="89"/>
      <x:c r="K84" s="46"/>
      <x:c r="L84" s="46"/>
      <x:c r="M84" s="46"/>
      <x:c r="N84" s="46"/>
      <x:c r="O84" s="46"/>
      <x:c r="P84" s="46"/>
      <x:c r="Q84" s="46"/>
    </x:row>
    <x:row r="85" spans="1:24" ht="20.100000000000001" customHeight="1" x14ac:dyDescent="0.3">
      <x:c r="A85" s="53"/>
      <x:c r="B85" s="55" t="s">
        <x:v>279</x:v>
      </x:c>
      <x:c r="E85" s="55"/>
      <x:c r="F85" s="55"/>
      <x:c r="G85" s="55"/>
      <x:c r="H85" s="55"/>
      <x:c r="I85" s="55"/>
      <x:c r="J85" s="55"/>
      <x:c r="K85" s="55"/>
      <x:c r="L85" s="46"/>
      <x:c r="M85" s="46"/>
      <x:c r="N85" s="46"/>
      <x:c r="O85" s="46"/>
      <x:c r="P85" s="46"/>
      <x:c r="Q85" s="46"/>
    </x:row>
    <x:row r="86" spans="1:24" ht="20.100000000000001" customHeight="1" x14ac:dyDescent="0.3">
      <x:c r="A86" s="53"/>
      <x:c r="B86" s="55" t="s">
        <x:v>253</x:v>
      </x:c>
      <x:c r="E86" s="55"/>
      <x:c r="F86" s="55"/>
      <x:c r="G86" s="55"/>
      <x:c r="H86" s="55"/>
      <x:c r="I86" s="55"/>
      <x:c r="J86" s="55"/>
      <x:c r="K86" s="46"/>
      <x:c r="L86" s="46"/>
      <x:c r="M86" s="46"/>
      <x:c r="N86" s="46"/>
      <x:c r="O86" s="46"/>
      <x:c r="P86" s="46"/>
      <x:c r="Q86" s="46"/>
    </x:row>
    <x:row r="87" spans="1:24" ht="20.100000000000001" customHeight="1" x14ac:dyDescent="0.3">
      <x:c r="A87" s="53"/>
      <x:c r="B87" s="97"/>
      <x:c r="D87" s="89"/>
      <x:c r="E87" s="89"/>
      <x:c r="F87" s="89"/>
      <x:c r="G87" s="89"/>
      <x:c r="H87" s="89"/>
      <x:c r="I87" s="89"/>
      <x:c r="J87" s="89"/>
      <x:c r="K87" s="89"/>
      <x:c r="L87" s="46"/>
      <x:c r="M87" s="46"/>
      <x:c r="N87" s="46"/>
      <x:c r="O87" s="46"/>
      <x:c r="P87" s="46"/>
      <x:c r="Q87" s="46"/>
    </x:row>
    <x:row r="88" spans="1:24" ht="20.100000000000001" customHeight="1" x14ac:dyDescent="0.3">
      <x:c r="A88" s="72"/>
      <x:c r="B88" s="97"/>
      <x:c r="D88" s="7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</x:row>
    <x:row r="89" spans="1:24" ht="20.100000000000001" customHeight="1" x14ac:dyDescent="0.25">
      <x:c r="A89" s="53"/>
      <x:c r="B89" s="54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</x:row>
    <x:row r="90" spans="1:24" ht="20.100000000000001" customHeight="1" x14ac:dyDescent="0.25">
      <x:c r="A90" s="53"/>
      <x:c r="B90" s="56" t="s">
        <x:v>171</x:v>
      </x:c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</x:row>
    <x:row r="91" spans="1:24" ht="20.100000000000001" customHeight="1" x14ac:dyDescent="0.25">
      <x:c r="A91" s="53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</x:row>
    <x:row r="92" spans="1:24" ht="20.100000000000001" customHeight="1" x14ac:dyDescent="0.25">
      <x:c r="A92" s="53"/>
      <x:c r="B92" s="56" t="s">
        <x:v>172</x:v>
      </x:c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</x:row>
    <x:row r="93" spans="1:24" ht="20.100000000000001" customHeight="1" x14ac:dyDescent="0.25">
      <x:c r="A93" s="53"/>
      <x:c r="B93" s="56" t="s">
        <x:v>254</x:v>
      </x:c>
      <x:c r="D93" s="5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</x:row>
    <x:row r="94" spans="1:24" ht="20.100000000000001" customHeight="1" x14ac:dyDescent="0.25">
      <x:c r="A94" s="53"/>
      <x:c r="B94" s="56" t="s">
        <x:v>255</x:v>
      </x:c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</x:row>
    <x:row r="95" spans="1:24" ht="20.100000000000001" customHeight="1" x14ac:dyDescent="0.3">
      <x:c r="A95" s="73"/>
      <x:c r="B95" s="73" t="s">
        <x:v>256</x:v>
      </x:c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1"/>
      <x:c r="S95" s="1"/>
      <x:c r="T95" s="1"/>
      <x:c r="U95" s="1"/>
      <x:c r="V95" s="1"/>
      <x:c r="W95" s="1"/>
      <x:c r="X95" s="1"/>
    </x:row>
    <x:row r="96" spans="1:24" ht="20.100000000000001" customHeight="1" x14ac:dyDescent="0.3">
      <x:c r="A96" s="73"/>
      <x:c r="B96" s="73" t="s">
        <x:v>257</x:v>
      </x:c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1"/>
      <x:c r="S96" s="1"/>
      <x:c r="T96" s="1"/>
      <x:c r="U96" s="1"/>
      <x:c r="V96" s="1"/>
      <x:c r="W96" s="1"/>
      <x:c r="X96" s="1"/>
    </x:row>
    <x:row r="97" spans="1:24" ht="20.100000000000001" customHeight="1" x14ac:dyDescent="0.3">
      <x:c r="A97" s="73"/>
      <x:c r="B97" s="42" t="s">
        <x:v>178</x:v>
      </x:c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1"/>
      <x:c r="S97" s="1"/>
      <x:c r="T97" s="1"/>
      <x:c r="U97" s="1"/>
      <x:c r="V97" s="1"/>
      <x:c r="W97" s="1"/>
      <x:c r="X97" s="1"/>
    </x:row>
    <x:row r="98" spans="1:24" ht="20.100000000000001" customHeight="1" x14ac:dyDescent="0.3">
      <x:c r="A98" s="73"/>
      <x:c r="B98" s="74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1"/>
      <x:c r="S98" s="1"/>
      <x:c r="T98" s="1"/>
      <x:c r="U98" s="1"/>
      <x:c r="V98" s="1"/>
      <x:c r="W98" s="1"/>
      <x:c r="X98" s="1"/>
    </x:row>
    <x:row r="99" spans="1:24" ht="20.100000000000001" customHeight="1" x14ac:dyDescent="0.3">
      <x:c r="A99" s="73"/>
      <x:c r="B99" s="50"/>
      <x:c r="C99" s="74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1"/>
      <x:c r="S99" s="1"/>
      <x:c r="T99" s="1"/>
      <x:c r="U99" s="1"/>
      <x:c r="V99" s="1"/>
      <x:c r="W99" s="1"/>
      <x:c r="X99" s="1"/>
    </x:row>
    <x:row r="100" spans="1:24" ht="20.100000000000001" customHeight="1" x14ac:dyDescent="0.3">
      <x:c r="A100" s="73"/>
      <x:c r="B100" s="50"/>
      <x:c r="C100" s="75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1"/>
      <x:c r="S100" s="1"/>
      <x:c r="T100" s="1"/>
      <x:c r="U100" s="1"/>
      <x:c r="V100" s="1"/>
      <x:c r="W100" s="1"/>
      <x:c r="X100" s="1"/>
    </x:row>
    <x:row r="101" spans="1:24" ht="20.100000000000001" customHeight="1" x14ac:dyDescent="0.3">
      <x:c r="A101" s="45"/>
      <x:c r="B101" s="50" t="s">
        <x:v>266</x:v>
      </x:c>
      <x:c r="C101" s="52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</x:row>
    <x:row r="102" spans="1:24" ht="37.5" customHeight="1" x14ac:dyDescent="0.3">
      <x:c r="A102" s="45"/>
      <x:c r="B102" s="99" t="s">
        <x:v>265</x:v>
      </x:c>
      <x:c r="C102" s="52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</x:row>
    <x:row r="103" spans="1:24" ht="20.100000000000001" customHeight="1" x14ac:dyDescent="0.3">
      <x:c r="A103" s="45"/>
      <x:c r="B103" s="47"/>
      <x:c r="C103" s="51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</x:row>
    <x:row r="104" spans="1:24" ht="20.100000000000001" customHeight="1" x14ac:dyDescent="0.25"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</x:row>
    <x:row r="105" spans="1:24" ht="20.100000000000001" customHeight="1" x14ac:dyDescent="0.25">
      <x:c r="B105" s="50" t="s">
        <x:v>221</x:v>
      </x:c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</x:row>
    <x:row r="106" spans="1:24" ht="20.100000000000001" customHeight="1" x14ac:dyDescent="0.25"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</x:row>
    <x:row r="107" spans="1:24" ht="20.100000000000001" customHeight="1" x14ac:dyDescent="0.25">
      <x:c r="B107" s="50" t="s">
        <x:v>222</x:v>
      </x:c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</x:row>
    <x:row r="108" spans="1:24" ht="20.100000000000001" customHeight="1" x14ac:dyDescent="0.25"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</x:row>
    <x:row r="109" spans="1:24" ht="20.100000000000001" customHeight="1" x14ac:dyDescent="0.25"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</x:row>
    <x:row r="110" spans="1:24" ht="20.100000000000001" customHeight="1" x14ac:dyDescent="0.25">
      <x:c r="B110" s="50" t="s">
        <x:v>223</x:v>
      </x:c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</x:row>
    <x:row r="111" spans="1:24" ht="20.100000000000001" customHeight="1" x14ac:dyDescent="0.25">
      <x:c r="B111" s="42" t="s">
        <x:v>224</x:v>
      </x:c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</x:row>
    <x:row r="112" spans="1:24" ht="20.100000000000001" customHeight="1" x14ac:dyDescent="0.25">
      <x:c r="B112" s="42" t="s">
        <x:v>258</x:v>
      </x:c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</x:row>
    <x:row r="113" spans="1:17" ht="20.100000000000001" customHeight="1" x14ac:dyDescent="0.25">
      <x:c r="B113" s="42" t="s">
        <x:v>144</x:v>
      </x:c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</x:row>
    <x:row r="114" spans="1:17" ht="20.100000000000001" customHeight="1" x14ac:dyDescent="0.25">
      <x:c r="B114" s="42" t="s">
        <x:v>259</x:v>
      </x:c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</x:row>
    <x:row r="115" spans="1:17" ht="20.100000000000001" customHeight="1" x14ac:dyDescent="0.25">
      <x:c r="B115" s="42" t="s">
        <x:v>260</x:v>
      </x:c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</x:row>
    <x:row r="116" spans="1:17" ht="20.100000000000001" customHeight="1" x14ac:dyDescent="0.25">
      <x:c r="B116" s="42" t="s">
        <x:v>145</x:v>
      </x:c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</x:row>
    <x:row r="117" spans="1:17" ht="20.100000000000001" customHeight="1" x14ac:dyDescent="0.25">
      <x:c r="B117" s="42" t="s">
        <x:v>225</x:v>
      </x:c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</x:row>
    <x:row r="118" spans="1:17" ht="20.100000000000001" customHeight="1" x14ac:dyDescent="0.3">
      <x:c r="A118" s="45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</x:row>
    <x:row r="119" spans="1:17" ht="20.100000000000001" customHeight="1" x14ac:dyDescent="0.25"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</x:row>
    <x:row r="120" spans="1:17" ht="20.100000000000001" customHeight="1" x14ac:dyDescent="0.25"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</x:row>
    <x:row r="121" spans="1:17" ht="20.100000000000001" customHeight="1" x14ac:dyDescent="0.25">
      <x:c r="B121" s="42" t="s">
        <x:v>226</x:v>
      </x:c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</x:row>
    <x:row r="122" spans="1:17" ht="20.100000000000001" customHeight="1" x14ac:dyDescent="0.25">
      <x:c r="B122" s="42" t="s">
        <x:v>227</x:v>
      </x:c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</x:row>
    <x:row r="123" spans="1:17" ht="20.100000000000001" customHeight="1" x14ac:dyDescent="0.25"/>
    <x:row r="124" spans="1:17" ht="20.100000000000001" customHeight="1" x14ac:dyDescent="0.25">
      <x:c r="B124" s="77" t="s">
        <x:v>191</x:v>
      </x:c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</x:row>
    <x:row r="125" spans="1:17" ht="20.100000000000001" customHeight="1" x14ac:dyDescent="0.3">
      <x:c r="A125" s="73"/>
      <x:c r="B125" s="42" t="s">
        <x:v>146</x:v>
      </x:c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</x:row>
    <x:row r="126" spans="1:17" ht="20.100000000000001" customHeight="1" x14ac:dyDescent="0.25">
      <x:c r="B126" s="42" t="s">
        <x:v>261</x:v>
      </x:c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</x:row>
    <x:row r="127" spans="1:17" ht="20.100000000000001" customHeight="1" x14ac:dyDescent="0.25">
      <x:c r="B127" s="42" t="s">
        <x:v>228</x:v>
      </x:c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</x:row>
    <x:row r="128" spans="1:17" ht="20.100000000000001" customHeight="1" x14ac:dyDescent="0.25">
      <x:c r="B128" s="42" t="s">
        <x:v>229</x:v>
      </x:c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</x:row>
    <x:row r="129" spans="1:17" ht="20.100000000000001" customHeight="1" x14ac:dyDescent="0.25"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</x:row>
    <x:row r="130" spans="1:17" ht="20.100000000000001" customHeight="1" x14ac:dyDescent="0.25">
      <x:c r="B130" s="42" t="s">
        <x:v>423</x:v>
      </x:c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</x:row>
    <x:row r="131" spans="1:17" ht="20.100000000000001" customHeight="1" x14ac:dyDescent="0.25"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</x:row>
    <x:row r="132" spans="1:17" ht="20.100000000000001" customHeight="1" x14ac:dyDescent="0.25">
      <x:c r="B132" s="50" t="s">
        <x:v>230</x:v>
      </x:c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</x:row>
    <x:row r="133" spans="1:17" ht="24" customHeight="1" x14ac:dyDescent="0.25">
      <x:c r="B133" s="42" t="s">
        <x:v>160</x:v>
      </x:c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</x:row>
    <x:row r="134" spans="1:17" ht="20.100000000000001" customHeight="1" x14ac:dyDescent="0.25"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</x:row>
    <x:row r="135" spans="1:17" ht="20.100000000000001" customHeight="1" x14ac:dyDescent="0.3">
      <x:c r="A135" s="73" t="s">
        <x:v>183</x:v>
      </x:c>
      <x:c r="B135" s="58" t="s">
        <x:v>436</x:v>
      </x:c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  <x:c r="O135" s="58"/>
      <x:c r="P135" s="58"/>
      <x:c r="Q135" s="58"/>
    </x:row>
    <x:row r="136" spans="1:17" ht="20.100000000000001" customHeight="1" x14ac:dyDescent="0.25">
      <x:c r="B136" s="62" t="s">
        <x:v>180</x:v>
      </x:c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  <x:c r="O136" s="58"/>
      <x:c r="P136" s="58"/>
      <x:c r="Q136" s="58"/>
    </x:row>
    <x:row r="137" spans="1:17" ht="20.100000000000001" customHeight="1" x14ac:dyDescent="0.25">
      <x:c r="B137" s="79" t="s">
        <x:v>179</x:v>
      </x:c>
      <x:c r="C137" s="79"/>
      <x:c r="D137" s="79"/>
      <x:c r="E137" s="79"/>
      <x:c r="F137" s="79"/>
      <x:c r="G137" s="79"/>
      <x:c r="H137" s="79"/>
      <x:c r="I137" s="79"/>
      <x:c r="J137" s="79"/>
      <x:c r="K137" s="79"/>
      <x:c r="L137" s="79"/>
      <x:c r="M137" s="79"/>
      <x:c r="N137" s="79"/>
      <x:c r="O137" s="79"/>
      <x:c r="P137" s="79"/>
      <x:c r="Q137" s="79"/>
    </x:row>
    <x:row r="138" spans="1:17" ht="18" x14ac:dyDescent="0.25">
      <x:c r="B138" s="79" t="s">
        <x:v>437</x:v>
      </x:c>
      <x:c r="C138" s="79"/>
      <x:c r="D138" s="79"/>
      <x:c r="E138" s="79"/>
      <x:c r="F138" s="79"/>
      <x:c r="G138" s="79"/>
      <x:c r="H138" s="79"/>
      <x:c r="I138" s="79"/>
      <x:c r="J138" s="79"/>
      <x:c r="K138" s="79"/>
      <x:c r="L138" s="79"/>
      <x:c r="M138" s="79"/>
      <x:c r="N138" s="79"/>
      <x:c r="O138" s="79"/>
      <x:c r="P138" s="79"/>
      <x:c r="Q138" s="79"/>
    </x:row>
    <x:row r="139" spans="1:17" ht="30" customHeight="1" x14ac:dyDescent="0.25">
      <x:c r="B139" s="79" t="s">
        <x:v>438</x:v>
      </x:c>
      <x:c r="C139" s="79"/>
      <x:c r="D139" s="79"/>
      <x:c r="E139" s="79"/>
      <x:c r="F139" s="79"/>
      <x:c r="G139" s="79"/>
      <x:c r="H139" s="79"/>
      <x:c r="I139" s="79"/>
      <x:c r="J139" s="79"/>
      <x:c r="K139" s="79"/>
      <x:c r="L139" s="79"/>
      <x:c r="M139" s="79"/>
      <x:c r="N139" s="79"/>
      <x:c r="O139" s="79"/>
      <x:c r="P139" s="79"/>
      <x:c r="Q139" s="79"/>
    </x:row>
    <x:row r="140" spans="1:17" ht="30" customHeight="1" x14ac:dyDescent="0.3">
      <x:c r="B140" s="61" t="s">
        <x:v>439</x:v>
      </x:c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</x:row>
    <x:row r="141" spans="1:17" ht="21" x14ac:dyDescent="0.25">
      <x:c r="B141" s="41" t="s">
        <x:v>427</x:v>
      </x:c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</x:row>
    <x:row r="142" spans="1:17" ht="30" customHeight="1" x14ac:dyDescent="0.25"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</x:row>
    <x:row r="143" spans="1:17" ht="30" customHeight="1" x14ac:dyDescent="0.35">
      <x:c r="B143" s="63" t="s">
        <x:v>231</x:v>
      </x:c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</x:row>
    <x:row r="144" spans="1:17" ht="30" customHeight="1" x14ac:dyDescent="0.35">
      <x:c r="B144" s="63" t="s">
        <x:v>188</x:v>
      </x:c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</x:row>
    <x:row r="145" spans="2:17" ht="30" customHeight="1" x14ac:dyDescent="0.25">
      <x:c r="B145" s="79" t="s">
        <x:v>440</x:v>
      </x:c>
      <x:c r="C145" s="79"/>
      <x:c r="D145" s="79"/>
      <x:c r="E145" s="79"/>
      <x:c r="F145" s="79"/>
      <x:c r="G145" s="79"/>
      <x:c r="H145" s="79"/>
      <x:c r="I145" s="79"/>
      <x:c r="J145" s="79"/>
      <x:c r="K145" s="79"/>
      <x:c r="L145" s="79"/>
      <x:c r="M145" s="79"/>
      <x:c r="N145" s="79"/>
      <x:c r="O145" s="79"/>
      <x:c r="P145" s="79"/>
      <x:c r="Q145" s="79"/>
    </x:row>
    <x:row r="146" spans="2:17" ht="17.399999999999999" x14ac:dyDescent="0.25">
      <x:c r="B146" s="82" t="s">
        <x:v>189</x:v>
      </x:c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83"/>
    </x:row>
    <x:row r="147" spans="2:17" ht="17.399999999999999" x14ac:dyDescent="0.3">
      <x:c r="B147" s="61" t="s">
        <x:v>190</x:v>
      </x:c>
    </x:row>
    <x:row r="150" spans="2:17" ht="15.6" x14ac:dyDescent="0.3">
      <x:c r="B150" s="59"/>
    </x:row>
    <x:row r="152" spans="2:17" ht="15.6" x14ac:dyDescent="0.3">
      <x:c r="B152" s="59"/>
    </x:row>
    <x:row r="153" spans="2:17" ht="15.6" x14ac:dyDescent="0.3">
      <x:c r="B153" s="59"/>
    </x:row>
    <x:row r="154" spans="2:17" ht="15.6" x14ac:dyDescent="0.3">
      <x:c r="B154" s="59"/>
    </x:row>
    <x:row r="155" spans="2:17" ht="15.6" x14ac:dyDescent="0.3">
      <x:c r="B155" s="59"/>
      <x:c r="C155" s="59"/>
    </x:row>
    <x:row r="156" spans="2:17" ht="15.6" x14ac:dyDescent="0.3">
      <x:c r="B156" s="59"/>
      <x:c r="E156" s="59"/>
    </x:row>
    <x:row r="157" spans="2:17" ht="15.6" x14ac:dyDescent="0.3">
      <x:c r="B157" s="59"/>
      <x:c r="D157" s="59"/>
    </x:row>
    <x:row r="158" spans="2:17" ht="15.6" x14ac:dyDescent="0.3">
      <x:c r="B158" s="60"/>
    </x:row>
    <x:row r="159" spans="2:17" ht="15.6" x14ac:dyDescent="0.3">
      <x:c r="B159" s="59"/>
      <x:c r="D159" s="59"/>
    </x:row>
    <x:row r="160" spans="2:17" ht="15.6" x14ac:dyDescent="0.3">
      <x:c r="B160" s="60"/>
    </x:row>
    <x:row r="161" spans="2:4" ht="15.6" x14ac:dyDescent="0.3">
      <x:c r="B161" s="59"/>
      <x:c r="D161" s="59"/>
    </x:row>
    <x:row r="162" spans="2:4" ht="15.6" x14ac:dyDescent="0.3">
      <x:c r="B162" s="59"/>
      <x:c r="C162" s="59"/>
    </x:row>
    <x:row r="163" spans="2:4" ht="15.6" x14ac:dyDescent="0.3">
      <x:c r="B163" s="59"/>
    </x:row>
  </x:sheetData>
  <x:sheetProtection formatRows="0"/>
  <x:mergeCells count="1">
    <x:mergeCell ref="B9:L9"/>
  </x:mergeCells>
  <x:phoneticPr fontId="2" type="noConversion"/>
  <x:hyperlinks>
    <x:hyperlink ref="B65" r:id="rId1" xr:uid="{F482F008-F9FB-475A-9535-19FA6CA27BE8}"/>
    <x:hyperlink ref="B66" r:id="rId2" display="Or      http://www.asteroidoccultation.com/observations/NA/Analysis%20of%20Camera%20Delay%20Corrections.pdf " xr:uid="{7B9EA292-D26F-4657-9519-CB4AC06592C5}"/>
    <x:hyperlink ref="B80" r:id="rId3" xr:uid="{DAB77E9A-91A2-41EF-B36E-02CE64830795}"/>
  </x:hyperlinks>
  <x:pageMargins left="0.75" right="0.75" top="1" bottom="1" header="0.5" footer="0.5"/>
  <x:pageSetup orientation="portrait" r:id="rId4"/>
  <x:headerFooter alignWithMargins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66D41F7-3AF2-4C2B-83E5-4E9F30D1C3C6}" mc:Ignorable="x14ac xr xr2 xr3">
  <x:sheetPr codeName="Sheet3"/>
  <x:dimension ref="A1:H96"/>
  <x:sheetViews>
    <x:sheetView topLeftCell="A53" workbookViewId="0">
      <x:selection activeCell="C27" sqref="C27"/>
    </x:sheetView>
  </x:sheetViews>
  <x:sheetFormatPr defaultRowHeight="13.2" x14ac:dyDescent="0.25"/>
  <x:cols>
    <x:col min="1" max="1" width="33.88671875" customWidth="1"/>
    <x:col min="2" max="2" width="43" bestFit="1" customWidth="1"/>
    <x:col min="3" max="3" width="11.6640625" bestFit="1" customWidth="1"/>
    <x:col min="4" max="4" width="14.6640625" bestFit="1" customWidth="1"/>
    <x:col min="5" max="5" width="16.5546875" customWidth="1"/>
    <x:col min="6" max="6" width="26.6640625" customWidth="1"/>
    <x:col min="9" max="9" width="6.33203125" customWidth="1"/>
    <x:col min="10" max="10" width="10.5546875" customWidth="1"/>
    <x:col min="11" max="11" width="9.6640625" customWidth="1"/>
    <x:col min="12" max="12" width="8.109375" customWidth="1"/>
  </x:cols>
  <x:sheetData>
    <x:row r="1" spans="1:8" x14ac:dyDescent="0.25">
      <x:c r="A1" t="s">
        <x:v>113</x:v>
      </x:c>
      <x:c r="F1" t="s">
        <x:v>36</x:v>
      </x:c>
    </x:row>
    <x:row r="2" spans="1:8" x14ac:dyDescent="0.25">
      <x:c r="A2" t="s">
        <x:v>90</x:v>
      </x:c>
      <x:c r="F2" t="s">
        <x:v>37</x:v>
      </x:c>
    </x:row>
    <x:row r="3" spans="1:8" x14ac:dyDescent="0.25">
      <x:c r="A3" t="s">
        <x:v>114</x:v>
      </x:c>
      <x:c r="F3" t="s">
        <x:v>38</x:v>
      </x:c>
    </x:row>
    <x:row r="4" spans="1:8" x14ac:dyDescent="0.25">
      <x:c r="A4" t="s">
        <x:v>161</x:v>
      </x:c>
      <x:c r="F4" t="s">
        <x:v>39</x:v>
      </x:c>
    </x:row>
    <x:row r="5" spans="1:8" x14ac:dyDescent="0.25">
      <x:c r="A5" t="s">
        <x:v>177</x:v>
      </x:c>
      <x:c r="F5" t="s">
        <x:v>40</x:v>
      </x:c>
    </x:row>
    <x:row r="6" spans="1:8" x14ac:dyDescent="0.25">
      <x:c r="A6" t="s">
        <x:v>425</x:v>
      </x:c>
    </x:row>
    <x:row r="7" spans="1:8" x14ac:dyDescent="0.25">
      <x:c r="A7" t="s">
        <x:v>153</x:v>
      </x:c>
      <x:c r="F7" t="s">
        <x:v>133</x:v>
      </x:c>
    </x:row>
    <x:row r="8" spans="1:8" x14ac:dyDescent="0.25">
      <x:c r="A8" t="s">
        <x:v>154</x:v>
      </x:c>
    </x:row>
    <x:row r="9" spans="1:8" x14ac:dyDescent="0.25">
      <x:c r="A9" s="1" t="s">
        <x:v>435</x:v>
      </x:c>
      <x:c r="C9" t="s">
        <x:v>15</x:v>
      </x:c>
      <x:c r="E9" t="s">
        <x:v>6</x:v>
      </x:c>
      <x:c r="G9" t="s">
        <x:v>18</x:v>
      </x:c>
      <x:c r="H9" t="s">
        <x:v>65</x:v>
      </x:c>
    </x:row>
    <x:row r="10" spans="1:8" x14ac:dyDescent="0.25">
      <x:c r="C10" t="s">
        <x:v>16</x:v>
      </x:c>
      <x:c r="E10" t="s">
        <x:v>17</x:v>
      </x:c>
      <x:c r="G10" t="s">
        <x:v>19</x:v>
      </x:c>
      <x:c r="H10" t="s">
        <x:v>66</x:v>
      </x:c>
    </x:row>
    <x:row r="11" spans="1:8" x14ac:dyDescent="0.25">
      <x:c r="A11" s="20" t="s">
        <x:v>127</x:v>
      </x:c>
    </x:row>
    <x:row r="12" spans="1:8" x14ac:dyDescent="0.25">
      <x:c r="A12" s="21" t="s">
        <x:v>128</x:v>
      </x:c>
    </x:row>
    <x:row r="13" spans="1:8" x14ac:dyDescent="0.25">
      <x:c r="A13" t="s">
        <x:v>151</x:v>
      </x:c>
    </x:row>
    <x:row r="17" spans="1:8" x14ac:dyDescent="0.25">
      <x:c r="C17" t="s">
        <x:v>49</x:v>
      </x:c>
      <x:c r="F17" t="s">
        <x:v>28</x:v>
      </x:c>
      <x:c r="H17" t="s">
        <x:v>42</x:v>
      </x:c>
    </x:row>
    <x:row r="18" spans="1:8" x14ac:dyDescent="0.25">
      <x:c r="C18" t="s">
        <x:v>50</x:v>
      </x:c>
      <x:c r="F18" t="s">
        <x:v>29</x:v>
      </x:c>
      <x:c r="H18" t="s">
        <x:v>43</x:v>
      </x:c>
    </x:row>
    <x:row r="19" spans="1:8" x14ac:dyDescent="0.25">
      <x:c r="A19" t="s">
        <x:v>26</x:v>
      </x:c>
      <x:c r="F19" t="s">
        <x:v>30</x:v>
      </x:c>
      <x:c r="H19" t="s">
        <x:v>44</x:v>
      </x:c>
    </x:row>
    <x:row r="20" spans="1:8" x14ac:dyDescent="0.25">
      <x:c r="A20" t="s">
        <x:v>21</x:v>
      </x:c>
      <x:c r="F20" t="s">
        <x:v>31</x:v>
      </x:c>
    </x:row>
    <x:row r="21" spans="1:8" x14ac:dyDescent="0.25">
      <x:c r="A21" t="s">
        <x:v>22</x:v>
      </x:c>
      <x:c r="F21" t="s">
        <x:v>32</x:v>
      </x:c>
    </x:row>
    <x:row r="22" spans="1:8" x14ac:dyDescent="0.25">
      <x:c r="A22" t="s">
        <x:v>24</x:v>
      </x:c>
      <x:c r="F22" t="s">
        <x:v>33</x:v>
      </x:c>
    </x:row>
    <x:row r="23" spans="1:8" x14ac:dyDescent="0.25">
      <x:c r="A23" t="s">
        <x:v>148</x:v>
      </x:c>
      <x:c r="F23" t="s">
        <x:v>34</x:v>
      </x:c>
    </x:row>
    <x:row r="24" spans="1:8" x14ac:dyDescent="0.25">
      <x:c r="A24" t="s">
        <x:v>23</x:v>
      </x:c>
      <x:c r="F24" t="s">
        <x:v>35</x:v>
      </x:c>
    </x:row>
    <x:row r="25" spans="1:8" x14ac:dyDescent="0.25">
      <x:c r="A25" t="s">
        <x:v>25</x:v>
      </x:c>
    </x:row>
    <x:row r="26" spans="1:8" x14ac:dyDescent="0.25">
      <x:c r="A26" t="s">
        <x:v>14</x:v>
      </x:c>
      <x:c r="F26" t="s">
        <x:v>46</x:v>
      </x:c>
    </x:row>
    <x:row r="27" spans="1:8" x14ac:dyDescent="0.25">
      <x:c r="C27">
        <x:f ca="1">YEAR(NOW())-1</x:f>
        <x:v>2024</x:v>
      </x:c>
      <x:c r="F27" t="s">
        <x:v>47</x:v>
      </x:c>
    </x:row>
    <x:row r="28" spans="1:8" x14ac:dyDescent="0.25">
      <x:c r="C28">
        <x:f ca="1">C27+1</x:f>
        <x:v>2025</x:v>
      </x:c>
      <x:c r="F28" t="s">
        <x:v>48</x:v>
      </x:c>
    </x:row>
    <x:row r="29" spans="1:8" x14ac:dyDescent="0.25">
      <x:c r="A29" t="s">
        <x:v>73</x:v>
      </x:c>
      <x:c r="C29">
        <x:f ca="1">C28+1</x:f>
        <x:v>2026</x:v>
      </x:c>
      <x:c r="F29" t="s">
        <x:v>88</x:v>
      </x:c>
    </x:row>
    <x:row r="30" spans="1:8" x14ac:dyDescent="0.25">
      <x:c r="A30" t="s">
        <x:v>74</x:v>
      </x:c>
      <x:c r="C30">
        <x:f ca="1">C29+1</x:f>
        <x:v>2027</x:v>
      </x:c>
    </x:row>
    <x:row r="31" spans="1:8" x14ac:dyDescent="0.25">
      <x:c r="A31" t="s">
        <x:v>75</x:v>
      </x:c>
      <x:c r="C31">
        <x:f ca="1">C30+1</x:f>
        <x:v>2028</x:v>
      </x:c>
    </x:row>
    <x:row r="32" spans="1:8" x14ac:dyDescent="0.25">
      <x:c r="A32" t="s">
        <x:v>76</x:v>
      </x:c>
      <x:c r="C32">
        <x:f ca="1">C31+1</x:f>
        <x:v>2029</x:v>
      </x:c>
    </x:row>
    <x:row r="33" spans="1:6" x14ac:dyDescent="0.25">
      <x:c r="A33" t="s">
        <x:v>77</x:v>
      </x:c>
      <x:c r="F33" t="s">
        <x:v>134</x:v>
      </x:c>
    </x:row>
    <x:row r="34" spans="1:6" x14ac:dyDescent="0.25">
      <x:c r="A34" t="s">
        <x:v>78</x:v>
      </x:c>
      <x:c r="F34" t="s">
        <x:v>135</x:v>
      </x:c>
    </x:row>
    <x:row r="35" spans="1:6" x14ac:dyDescent="0.25">
      <x:c r="A35" t="s">
        <x:v>79</x:v>
      </x:c>
      <x:c r="F35" t="s">
        <x:v>136</x:v>
      </x:c>
    </x:row>
    <x:row r="36" spans="1:6" x14ac:dyDescent="0.25">
      <x:c r="A36" t="s">
        <x:v>80</x:v>
      </x:c>
    </x:row>
    <x:row r="37" spans="1:6" x14ac:dyDescent="0.25">
      <x:c r="A37" t="s">
        <x:v>81</x:v>
      </x:c>
      <x:c r="D37" s="22" t="s">
        <x:v>49</x:v>
      </x:c>
      <x:c r="F37" t="s">
        <x:v>100</x:v>
      </x:c>
    </x:row>
    <x:row r="38" spans="1:6" x14ac:dyDescent="0.25">
      <x:c r="A38" t="s">
        <x:v>82</x:v>
      </x:c>
      <x:c r="D38" s="22" t="s">
        <x:v>50</x:v>
      </x:c>
      <x:c r="F38" t="s">
        <x:v>101</x:v>
      </x:c>
    </x:row>
    <x:row r="39" spans="1:6" x14ac:dyDescent="0.25">
      <x:c r="A39" t="s">
        <x:v>83</x:v>
      </x:c>
      <x:c r="D39" s="22" t="s">
        <x:v>152</x:v>
      </x:c>
      <x:c r="F39" t="s">
        <x:v>102</x:v>
      </x:c>
    </x:row>
    <x:row r="40" spans="1:6" ht="13.8" thickBot="1" x14ac:dyDescent="0.3">
      <x:c r="A40" t="s">
        <x:v>84</x:v>
      </x:c>
      <x:c r="F40" t="s">
        <x:v>103</x:v>
      </x:c>
    </x:row>
    <x:row r="41" spans="1:6" x14ac:dyDescent="0.25">
      <x:c r="B41" s="69">
        <x:v>0</x:v>
      </x:c>
      <x:c r="F41" t="s">
        <x:v>104</x:v>
      </x:c>
    </x:row>
    <x:row r="42" spans="1:6" x14ac:dyDescent="0.25">
      <x:c r="A42" t="s">
        <x:v>94</x:v>
      </x:c>
      <x:c r="B42" s="70">
        <x:v>1</x:v>
      </x:c>
      <x:c r="F42" t="s">
        <x:v>105</x:v>
      </x:c>
    </x:row>
    <x:row r="43" spans="1:6" x14ac:dyDescent="0.25">
      <x:c r="A43" t="s">
        <x:v>416</x:v>
      </x:c>
      <x:c r="B43" s="70">
        <x:v>1</x:v>
      </x:c>
      <x:c r="F43" t="s">
        <x:v>106</x:v>
      </x:c>
    </x:row>
    <x:row r="44" spans="1:6" x14ac:dyDescent="0.25">
      <x:c r="A44" t="s">
        <x:v>417</x:v>
      </x:c>
      <x:c r="B44" s="70">
        <x:v>1</x:v>
      </x:c>
    </x:row>
    <x:row r="45" spans="1:6" x14ac:dyDescent="0.25">
      <x:c r="A45" t="s">
        <x:v>418</x:v>
      </x:c>
      <x:c r="B45" s="70">
        <x:v>1</x:v>
      </x:c>
    </x:row>
    <x:row r="46" spans="1:6" x14ac:dyDescent="0.25">
      <x:c r="A46" t="s">
        <x:v>98</x:v>
      </x:c>
      <x:c r="B46" s="70">
        <x:v>2</x:v>
      </x:c>
    </x:row>
    <x:row r="47" spans="1:6" x14ac:dyDescent="0.25">
      <x:c r="A47" t="s">
        <x:v>187</x:v>
      </x:c>
      <x:c r="B47" s="70">
        <x:v>3</x:v>
      </x:c>
    </x:row>
    <x:row r="48" spans="1:6" x14ac:dyDescent="0.25">
      <x:c r="A48" t="s">
        <x:v>415</x:v>
      </x:c>
      <x:c r="B48" s="70">
        <x:v>4</x:v>
      </x:c>
      <x:c r="F48" t="s">
        <x:v>107</x:v>
      </x:c>
    </x:row>
    <x:row r="49" spans="1:8" x14ac:dyDescent="0.25">
      <x:c r="A49" t="s">
        <x:v>95</x:v>
      </x:c>
      <x:c r="B49" s="70">
        <x:v>5</x:v>
      </x:c>
      <x:c r="F49" t="s">
        <x:v>108</x:v>
      </x:c>
    </x:row>
    <x:row r="50" spans="1:8" ht="13.8" thickBot="1" x14ac:dyDescent="0.3">
      <x:c r="B50" s="71" t="s">
        <x:v>196</x:v>
      </x:c>
      <x:c r="F50" t="s">
        <x:v>109</x:v>
      </x:c>
    </x:row>
    <x:row r="51" spans="1:8" x14ac:dyDescent="0.25">
      <x:c r="A51" s="1" t="s">
        <x:v>11</x:v>
      </x:c>
    </x:row>
    <x:row r="52" spans="1:8" x14ac:dyDescent="0.25">
      <x:c r="A52" t="s">
        <x:v>123</x:v>
      </x:c>
    </x:row>
    <x:row r="53" spans="1:8" x14ac:dyDescent="0.25">
      <x:c r="A53" t="s">
        <x:v>12</x:v>
      </x:c>
    </x:row>
    <x:row r="54" spans="1:8" x14ac:dyDescent="0.25">
      <x:c r="A54" t="s">
        <x:v>13</x:v>
      </x:c>
    </x:row>
    <x:row r="55" spans="1:8" x14ac:dyDescent="0.25">
      <x:c r="A55" t="s">
        <x:v>117</x:v>
      </x:c>
    </x:row>
    <x:row r="56" spans="1:8" x14ac:dyDescent="0.25">
      <x:c r="A56" t="s">
        <x:v>118</x:v>
      </x:c>
    </x:row>
    <x:row r="57" spans="1:8" x14ac:dyDescent="0.25">
      <x:c r="A57" t="s">
        <x:v>119</x:v>
      </x:c>
    </x:row>
    <x:row r="58" spans="1:8" x14ac:dyDescent="0.25">
      <x:c r="E58" t="s">
        <x:v>165</x:v>
      </x:c>
      <x:c r="F58" t="s">
        <x:v>164</x:v>
      </x:c>
      <x:c r="G58" t="s">
        <x:v>133</x:v>
      </x:c>
    </x:row>
    <x:row r="60" spans="1:8" x14ac:dyDescent="0.25">
      <x:c r="A60" s="80" t="s">
        <x:v>286</x:v>
      </x:c>
      <x:c r="B60" s="80" t="s">
        <x:v>304</x:v>
      </x:c>
      <x:c r="C60" s="80"/>
      <x:c r="D60" s="80"/>
      <x:c r="E60" s="80" t="s">
        <x:v>164</x:v>
      </x:c>
      <x:c r="F60" s="80" t="s">
        <x:v>166</x:v>
      </x:c>
      <x:c r="G60" s="80"/>
      <x:c r="H60" s="80"/>
    </x:row>
    <x:row r="61" spans="1:8" x14ac:dyDescent="0.25">
      <x:c r="A61" s="80" t="s">
        <x:v>288</x:v>
      </x:c>
      <x:c r="B61" s="80" t="s">
        <x:v>306</x:v>
      </x:c>
      <x:c r="E61" s="80" t="s">
        <x:v>165</x:v>
      </x:c>
      <x:c r="F61" s="80" t="s">
        <x:v>287</x:v>
      </x:c>
      <x:c r="G61" s="80"/>
      <x:c r="H61" s="80"/>
    </x:row>
    <x:row r="62" spans="1:8" x14ac:dyDescent="0.25">
      <x:c r="A62" s="80" t="s">
        <x:v>290</x:v>
      </x:c>
      <x:c r="B62" s="80" t="s">
        <x:v>308</x:v>
      </x:c>
      <x:c r="E62" s="80" t="s">
        <x:v>307</x:v>
      </x:c>
      <x:c r="F62" s="80" t="s">
        <x:v>291</x:v>
      </x:c>
      <x:c r="G62" s="80"/>
      <x:c r="H62" s="80"/>
    </x:row>
    <x:row r="63" spans="1:8" x14ac:dyDescent="0.25">
      <x:c r="A63" s="80" t="s">
        <x:v>252</x:v>
      </x:c>
      <x:c r="B63" s="80" t="s">
        <x:v>310</x:v>
      </x:c>
      <x:c r="E63" s="80" t="s">
        <x:v>298</x:v>
      </x:c>
      <x:c r="F63" s="80" t="s">
        <x:v>412</x:v>
      </x:c>
      <x:c r="G63" s="80"/>
      <x:c r="H63" s="80"/>
    </x:row>
    <x:row r="64" spans="1:8" x14ac:dyDescent="0.25">
      <x:c r="A64" s="80" t="s">
        <x:v>293</x:v>
      </x:c>
      <x:c r="B64" s="80" t="s">
        <x:v>312</x:v>
      </x:c>
      <x:c r="E64" s="80" t="s">
        <x:v>311</x:v>
      </x:c>
      <x:c r="F64" s="80"/>
      <x:c r="G64" s="80"/>
      <x:c r="H64" s="80"/>
    </x:row>
    <x:row r="65" spans="2:8" x14ac:dyDescent="0.25">
      <x:c r="B65" s="80" t="s">
        <x:v>315</x:v>
      </x:c>
      <x:c r="E65" s="80" t="s">
        <x:v>442</x:v>
      </x:c>
      <x:c r="F65" s="80"/>
      <x:c r="G65" s="80"/>
      <x:c r="H65" s="80"/>
    </x:row>
    <x:row r="66" spans="2:8" x14ac:dyDescent="0.25">
      <x:c r="B66" s="80" t="s">
        <x:v>317</x:v>
      </x:c>
      <x:c r="E66" s="80" t="s">
        <x:v>314</x:v>
      </x:c>
    </x:row>
    <x:row r="67" spans="2:8" x14ac:dyDescent="0.25">
      <x:c r="B67" s="80" t="s">
        <x:v>318</x:v>
      </x:c>
      <x:c r="E67" s="80"/>
    </x:row>
    <x:row r="68" spans="2:8" x14ac:dyDescent="0.25">
      <x:c r="B68" s="80" t="s">
        <x:v>320</x:v>
      </x:c>
    </x:row>
    <x:row r="69" spans="2:8" x14ac:dyDescent="0.25">
      <x:c r="B69" s="80" t="s">
        <x:v>322</x:v>
      </x:c>
    </x:row>
    <x:row r="70" spans="2:8" x14ac:dyDescent="0.25">
      <x:c r="B70" s="80" t="s">
        <x:v>323</x:v>
      </x:c>
    </x:row>
    <x:row r="71" spans="2:8" x14ac:dyDescent="0.25">
      <x:c r="B71" s="80" t="s">
        <x:v>325</x:v>
      </x:c>
    </x:row>
    <x:row r="72" spans="2:8" x14ac:dyDescent="0.25">
      <x:c r="B72" s="80" t="s">
        <x:v>325</x:v>
      </x:c>
      <x:c r="C72" s="80"/>
      <x:c r="D72" s="80"/>
    </x:row>
    <x:row r="73" spans="2:8" x14ac:dyDescent="0.25">
      <x:c r="B73" s="80" t="s">
        <x:v>327</x:v>
      </x:c>
      <x:c r="C73" s="80"/>
      <x:c r="D73" s="80"/>
      <x:c r="E73" s="80"/>
    </x:row>
    <x:row r="74" spans="2:8" x14ac:dyDescent="0.25">
      <x:c r="B74" s="80" t="s">
        <x:v>328</x:v>
      </x:c>
      <x:c r="C74" s="80"/>
      <x:c r="D74" s="80"/>
      <x:c r="E74" s="80"/>
    </x:row>
    <x:row r="75" spans="2:8" x14ac:dyDescent="0.25">
      <x:c r="B75" s="80" t="s">
        <x:v>330</x:v>
      </x:c>
      <x:c r="C75" s="80"/>
      <x:c r="D75" s="80"/>
      <x:c r="E75" s="80"/>
    </x:row>
    <x:row r="76" spans="2:8" x14ac:dyDescent="0.25">
      <x:c r="B76" s="80" t="s">
        <x:v>331</x:v>
      </x:c>
      <x:c r="C76" s="80"/>
      <x:c r="D76" s="80"/>
      <x:c r="E76" s="80"/>
    </x:row>
    <x:row r="77" spans="2:8" x14ac:dyDescent="0.25">
      <x:c r="B77" s="80" t="s">
        <x:v>333</x:v>
      </x:c>
      <x:c r="C77" s="80"/>
      <x:c r="D77" s="80"/>
      <x:c r="E77" s="80"/>
    </x:row>
    <x:row r="78" spans="2:8" x14ac:dyDescent="0.25">
      <x:c r="B78" s="80" t="s">
        <x:v>334</x:v>
      </x:c>
      <x:c r="C78" s="80"/>
      <x:c r="D78" s="80"/>
      <x:c r="E78" s="80"/>
    </x:row>
    <x:row r="79" spans="2:8" x14ac:dyDescent="0.25">
      <x:c r="B79" s="80" t="s">
        <x:v>336</x:v>
      </x:c>
      <x:c r="C79" s="80"/>
      <x:c r="D79" s="80"/>
      <x:c r="E79" s="80"/>
    </x:row>
    <x:row r="80" spans="2:8" x14ac:dyDescent="0.25">
      <x:c r="B80" s="80" t="s">
        <x:v>337</x:v>
      </x:c>
      <x:c r="C80" s="80"/>
      <x:c r="D80" s="80"/>
      <x:c r="E80" s="80"/>
    </x:row>
    <x:row r="81" spans="2:5" x14ac:dyDescent="0.25">
      <x:c r="B81" s="80" t="s">
        <x:v>339</x:v>
      </x:c>
      <x:c r="C81" s="80"/>
      <x:c r="D81" s="80"/>
      <x:c r="E81" s="80"/>
    </x:row>
    <x:row r="82" spans="2:5" x14ac:dyDescent="0.25">
      <x:c r="B82" s="80" t="s">
        <x:v>441</x:v>
      </x:c>
      <x:c r="C82" s="80"/>
      <x:c r="D82" s="80"/>
      <x:c r="E82" s="80"/>
    </x:row>
    <x:row r="83" spans="2:5" x14ac:dyDescent="0.25">
      <x:c r="B83" s="80" t="s">
        <x:v>411</x:v>
      </x:c>
      <x:c r="C83" s="80"/>
      <x:c r="D83" s="80"/>
      <x:c r="E83" s="80"/>
    </x:row>
    <x:row r="84" spans="2:5" x14ac:dyDescent="0.25">
      <x:c r="E84" s="80"/>
    </x:row>
    <x:row r="85" spans="2:5" x14ac:dyDescent="0.25">
      <x:c r="B85" s="80" t="s">
        <x:v>23</x:v>
      </x:c>
      <x:c r="C85" s="80"/>
      <x:c r="D85" s="80"/>
    </x:row>
    <x:row r="86" spans="2:5" x14ac:dyDescent="0.25">
      <x:c r="B86" s="80" t="s">
        <x:v>289</x:v>
      </x:c>
      <x:c r="C86" s="80"/>
      <x:c r="D86" s="80"/>
      <x:c r="E86" s="80"/>
    </x:row>
    <x:row r="87" spans="2:5" x14ac:dyDescent="0.25">
      <x:c r="B87" s="80" t="s">
        <x:v>292</x:v>
      </x:c>
      <x:c r="C87" s="80"/>
      <x:c r="D87" s="80"/>
      <x:c r="E87" s="80"/>
    </x:row>
    <x:row r="88" spans="2:5" x14ac:dyDescent="0.25">
      <x:c r="B88" s="80" t="s">
        <x:v>294</x:v>
      </x:c>
      <x:c r="C88" s="80"/>
      <x:c r="D88" s="80"/>
      <x:c r="E88" s="80"/>
    </x:row>
    <x:row r="89" spans="2:5" x14ac:dyDescent="0.25">
      <x:c r="B89" s="80" t="s">
        <x:v>295</x:v>
      </x:c>
      <x:c r="C89" s="80"/>
      <x:c r="D89" s="80"/>
      <x:c r="E89" s="80"/>
    </x:row>
    <x:row r="90" spans="2:5" x14ac:dyDescent="0.25">
      <x:c r="B90" s="80" t="s">
        <x:v>264</x:v>
      </x:c>
      <x:c r="C90" s="80"/>
      <x:c r="D90" s="80"/>
      <x:c r="E90" s="80"/>
    </x:row>
    <x:row r="91" spans="2:5" x14ac:dyDescent="0.25">
      <x:c r="B91" s="80" t="s">
        <x:v>296</x:v>
      </x:c>
      <x:c r="C91" s="80"/>
      <x:c r="D91" s="80"/>
      <x:c r="E91" s="80"/>
    </x:row>
    <x:row r="92" spans="2:5" x14ac:dyDescent="0.25">
      <x:c r="B92" s="80" t="s">
        <x:v>297</x:v>
      </x:c>
      <x:c r="C92" s="80"/>
      <x:c r="D92" s="80"/>
      <x:c r="E92" s="80"/>
    </x:row>
    <x:row r="93" spans="2:5" x14ac:dyDescent="0.25">
      <x:c r="B93" s="80" t="s">
        <x:v>298</x:v>
      </x:c>
      <x:c r="C93" s="80"/>
      <x:c r="D93" s="80"/>
      <x:c r="E93" s="80"/>
    </x:row>
    <x:row r="94" spans="2:5" x14ac:dyDescent="0.25">
      <x:c r="B94" s="80" t="s">
        <x:v>299</x:v>
      </x:c>
      <x:c r="C94" s="80"/>
      <x:c r="D94" s="80"/>
      <x:c r="E94" s="80"/>
    </x:row>
    <x:row r="95" spans="2:5" x14ac:dyDescent="0.25">
      <x:c r="B95" s="80" t="s">
        <x:v>293</x:v>
      </x:c>
      <x:c r="C95" s="80"/>
      <x:c r="D95" s="80"/>
      <x:c r="E95" s="80"/>
    </x:row>
    <x:row r="96" spans="2:5" x14ac:dyDescent="0.25">
      <x:c r="E96" s="80"/>
    </x:row>
  </x:sheetData>
  <x:sheetProtection formatRows="0"/>
  <x:phoneticPr fontId="2" type="noConversion"/>
  <x:pageMargins left="0.75" right="0.75" top="1" bottom="1" header="0.5" footer="0.5"/>
  <x:pageSetup paperSize="9" orientation="portrait" horizontalDpi="4294967293" verticalDpi="0" r:id="rId1"/>
  <x:headerFooter alignWithMargins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7B53CAB-6B14-46F3-BB10-C56D80A656C5}" mc:Ignorable="x14ac xr xr2 xr3">
  <x:sheetPr codeName="Sheet1">
    <x:tabColor indexed="18"/>
  </x:sheetPr>
  <x:dimension ref="A1:AD49"/>
  <x:sheetViews>
    <x:sheetView showGridLines="0" tabSelected="1" zoomScale="90" workbookViewId="0">
      <x:pane ySplit="3" topLeftCell="A4" activePane="bottomLeft" state="frozen"/>
      <x:selection pane="bottomLeft" activeCell="O31" sqref="O31"/>
    </x:sheetView>
  </x:sheetViews>
  <x:sheetFormatPr defaultColWidth="9.109375" defaultRowHeight="13.2" x14ac:dyDescent="0.25"/>
  <x:cols>
    <x:col min="1" max="1" width="7.44140625" customWidth="1"/>
    <x:col min="2" max="2" width="9.5546875" customWidth="1"/>
    <x:col min="3" max="3" width="5.6640625" customWidth="1"/>
    <x:col min="4" max="4" width="5.5546875" customWidth="1"/>
    <x:col min="5" max="5" width="9.88671875" customWidth="1"/>
    <x:col min="6" max="6" width="9.5546875" customWidth="1"/>
    <x:col min="7" max="7" width="1.6640625" customWidth="1"/>
    <x:col min="8" max="8" width="9.5546875" customWidth="1"/>
    <x:col min="9" max="9" width="1.6640625" customWidth="1"/>
    <x:col min="10" max="14" width="5.6640625" customWidth="1"/>
    <x:col min="15" max="15" width="7.33203125" customWidth="1"/>
    <x:col min="16" max="16" width="11" customWidth="1"/>
    <x:col min="17" max="17" width="2.6640625" customWidth="1"/>
    <x:col min="18" max="21" width="5.6640625" customWidth="1"/>
    <x:col min="22" max="22" width="10.109375" customWidth="1"/>
    <x:col min="23" max="25" width="5.6640625" customWidth="1"/>
    <x:col min="26" max="26" width="1.6640625" customWidth="1"/>
    <x:col min="27" max="27" width="5.6640625" customWidth="1"/>
    <x:col min="28" max="28" width="1.6640625" customWidth="1"/>
    <x:col min="29" max="29" width="7.109375" customWidth="1"/>
    <x:col min="30" max="31" width="5.6640625" customWidth="1"/>
    <x:col min="32" max="32" width="4.6640625" customWidth="1"/>
  </x:cols>
  <x:sheetData>
    <x:row r="1" spans="1:29" ht="27.9" customHeight="1" x14ac:dyDescent="0.25">
      <x:c r="A1" s="214" t="s">
        <x:v>126</x:v>
      </x:c>
      <x:c r="B1" s="214"/>
      <x:c r="C1" s="214"/>
      <x:c r="D1" s="214"/>
      <x:c r="E1" s="215"/>
      <x:c r="F1" s="215"/>
      <x:c r="G1" s="218" t="s">
        <x:v>99</x:v>
      </x:c>
      <x:c r="H1" s="219"/>
      <x:c r="I1" s="219"/>
      <x:c r="J1" s="219"/>
      <x:c r="K1" s="219"/>
      <x:c r="L1" s="219"/>
      <x:c r="M1" s="219"/>
      <x:c r="N1" s="219"/>
      <x:c r="O1" s="219"/>
      <x:c r="P1" s="219"/>
      <x:c r="Q1" s="219"/>
      <x:c r="R1" s="219"/>
      <x:c r="S1" s="219"/>
      <x:c r="T1" s="219"/>
      <x:c r="U1" s="219"/>
      <x:c r="V1" s="219"/>
      <x:c r="W1" s="4"/>
      <x:c r="X1" s="4"/>
      <x:c r="Y1" s="4"/>
      <x:c r="Z1" s="4"/>
      <x:c r="AA1" s="44"/>
      <x:c r="AB1" s="4"/>
      <x:c r="AC1" s="4"/>
    </x:row>
    <x:row r="2" spans="1:29" ht="18" customHeight="1" x14ac:dyDescent="0.25">
      <x:c r="A2" s="216" t="str">
        <x:v>Positive</x:v>
      </x:c>
      <x:c r="B2" s="216"/>
      <x:c r="C2" s="216"/>
      <x:c r="D2" s="216"/>
      <x:c r="E2" s="150"/>
      <x:c r="F2" s="150"/>
      <x:c r="G2" s="2"/>
      <x:c r="H2" s="2"/>
      <x:c r="I2" s="2"/>
      <x:c r="J2" s="193" t="s">
        <x:v>122</x:v>
      </x:c>
      <x:c r="K2" s="193"/>
      <x:c r="L2" s="193"/>
      <x:c r="M2" s="193"/>
      <x:c r="N2" s="193"/>
      <x:c r="O2" s="193"/>
      <x:c r="P2" s="193"/>
      <x:c r="Q2" s="193"/>
      <x:c r="R2" s="193"/>
      <x:c r="S2" s="193"/>
      <x:c r="T2" s="193"/>
      <x:c r="U2" s="2"/>
      <x:c r="Z2" s="209" t="s">
        <x:v>443</x:v>
      </x:c>
      <x:c r="AA2" s="209"/>
      <x:c r="AB2" s="209"/>
      <x:c r="AC2" s="209"/>
    </x:row>
    <x:row r="3" spans="1:29" ht="14.1" customHeight="1" x14ac:dyDescent="0.25">
      <x:c r="A3" s="217"/>
      <x:c r="B3" s="217"/>
      <x:c r="C3" s="217"/>
      <x:c r="D3" s="217"/>
      <x:c r="E3" s="217"/>
      <x:c r="F3" s="217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3"/>
      <x:c r="T3" s="4"/>
      <x:c r="U3" s="4"/>
      <x:c r="Y3" s="5"/>
      <x:c r="Z3" s="182"/>
      <x:c r="AA3" s="182"/>
      <x:c r="AB3" s="182"/>
      <x:c r="AC3" s="182"/>
    </x:row>
    <x:row r="4" spans="1:29" ht="12" customHeight="1" x14ac:dyDescent="0.25"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3"/>
      <x:c r="T4" s="4"/>
      <x:c r="U4" s="4"/>
      <x:c r="Y4" s="5" t="s">
        <x:v>124</x:v>
      </x:c>
      <x:c r="Z4" s="5"/>
      <x:c r="AA4" s="5" t="s">
        <x:v>87</x:v>
      </x:c>
      <x:c r="AB4" s="5"/>
      <x:c r="AC4" s="18" t="s">
        <x:v>125</x:v>
      </x:c>
    </x:row>
    <x:row r="5" spans="1:29" ht="20.100000000000001" customHeight="1" x14ac:dyDescent="0.25">
      <x:c r="B5" s="200" t="s">
        <x:v>0</x:v>
      </x:c>
      <x:c r="C5" s="225"/>
      <x:c r="D5" s="213" t="n">
        <x:v>2024</x:v>
      </x:c>
      <x:c r="E5" s="213"/>
      <x:c r="F5" s="4"/>
      <x:c r="G5" s="4"/>
      <x:c r="H5" s="200" t="s">
        <x:v>1</x:v>
      </x:c>
      <x:c r="I5" s="200"/>
      <x:c r="J5" s="200"/>
      <x:c r="K5" s="202" t="str">
        <x:v>December</x:v>
      </x:c>
      <x:c r="L5" s="202"/>
      <x:c r="M5" s="2"/>
      <x:c r="N5" s="200" t="s">
        <x:v>121</x:v>
      </x:c>
      <x:c r="O5" s="200"/>
      <x:c r="P5" s="213" t="n">
        <x:v>13</x:v>
      </x:c>
      <x:c r="Q5" s="213"/>
      <x:c r="R5" s="213"/>
      <x:c r="S5" s="6"/>
      <x:c r="T5" s="220" t="s">
        <x:v>120</x:v>
      </x:c>
      <x:c r="U5" s="221"/>
      <x:c r="V5" s="221"/>
      <x:c r="W5" s="221"/>
      <x:c r="X5" s="221"/>
      <x:c r="Y5" s="132" t="n">
        <x:v>10</x:v>
      </x:c>
      <x:c r="Z5" s="6" t="s">
        <x:v>85</x:v>
      </x:c>
      <x:c r="AA5" s="133" t="n">
        <x:v>3</x:v>
      </x:c>
      <x:c r="AB5" s="36" t="s">
        <x:v>85</x:v>
      </x:c>
      <x:c r="AC5" s="134" t="n">
        <x:v>42</x:v>
      </x:c>
    </x:row>
    <x:row r="6" spans="1:29" ht="12" customHeight="1" x14ac:dyDescent="0.25"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7"/>
      <x:c r="M6" s="7"/>
      <x:c r="N6" s="5"/>
      <x:c r="O6" s="4"/>
      <x:c r="P6" s="4"/>
      <x:c r="Q6" s="4"/>
      <x:c r="R6" s="4"/>
      <x:c r="S6" s="201" t="s">
        <x:v>131</x:v>
      </x:c>
      <x:c r="T6" s="201"/>
      <x:c r="U6" s="201"/>
      <x:c r="V6" s="201"/>
      <x:c r="X6" s="201" t="s">
        <x:v>132</x:v>
      </x:c>
      <x:c r="Y6" s="201"/>
      <x:c r="Z6" s="201"/>
      <x:c r="AA6" s="201"/>
      <x:c r="AB6" s="201"/>
      <x:c r="AC6" s="201"/>
    </x:row>
    <x:row r="7" spans="1:29" ht="20.100000000000001" customHeight="1" x14ac:dyDescent="0.25">
      <x:c r="A7" s="200" t="s">
        <x:v>58</x:v>
      </x:c>
      <x:c r="B7" s="222"/>
      <x:c r="C7" s="222"/>
      <x:c r="D7" s="25" t="s">
        <x:v>89</x:v>
      </x:c>
      <x:c r="E7" s="212" t="n">
        <x:v>12345</x:v>
      </x:c>
      <x:c r="F7" s="212"/>
      <x:c r="G7" s="15"/>
      <x:c r="H7" s="210" t="s">
        <x:v>97</x:v>
      </x:c>
      <x:c r="I7" s="211"/>
      <x:c r="J7" s="211"/>
      <x:c r="K7" s="212" t="str">
        <x:v>TestAsteroid</x:v>
      </x:c>
      <x:c r="L7" s="212"/>
      <x:c r="M7" s="212"/>
      <x:c r="N7" s="212"/>
      <x:c r="O7" s="212"/>
      <x:c r="P7" s="200" t="s">
        <x:v>59</x:v>
      </x:c>
      <x:c r="Q7" s="200"/>
      <x:c r="R7" s="200"/>
      <x:c r="S7" s="202" t="str">
        <x:v>UCAC4</x:v>
      </x:c>
      <x:c r="T7" s="203"/>
      <x:c r="U7" s="203"/>
      <x:c r="V7" s="203"/>
      <x:c r="W7" s="4"/>
      <x:c r="X7" s="152" t="str">
        <x:v>123-456789</x:v>
      </x:c>
      <x:c r="Y7" s="152"/>
      <x:c r="Z7" s="152"/>
      <x:c r="AA7" s="152"/>
      <x:c r="AB7" s="152"/>
      <x:c r="AC7" s="152"/>
    </x:row>
    <x:row r="8" spans="1:29" ht="15.9" customHeight="1" x14ac:dyDescent="0.25">
      <x:c r="B8" s="4"/>
      <x:c r="C8" s="4"/>
      <x:c r="D8" s="4"/>
      <x:c r="E8" s="172" t="s">
        <x:v>424</x:v>
      </x:c>
      <x:c r="F8" s="172"/>
      <x:c r="G8" s="172"/>
      <x:c r="H8" s="172"/>
      <x:c r="I8" s="172"/>
      <x:c r="J8" s="172"/>
      <x:c r="K8" s="172"/>
      <x:c r="L8" s="172"/>
      <x:c r="M8" s="172"/>
      <x:c r="N8" s="172"/>
      <x:c r="O8" s="172"/>
      <x:c r="P8" s="127" t="str">
        <x:v>No</x:v>
      </x:c>
      <x:c r="Q8" s="4"/>
      <x:c r="R8" s="4"/>
      <x:c r="S8" s="4"/>
      <x:c r="T8" s="4"/>
    </x:row>
    <x:row r="9" spans="1:29" ht="15.9" customHeight="1" x14ac:dyDescent="0.25">
      <x:c r="A9" s="171" t="s">
        <x:v>116</x:v>
      </x:c>
      <x:c r="B9" s="224"/>
      <x:c r="C9" s="224"/>
      <x:c r="D9" s="152" t="str">
        <x:v>Test Observer</x:v>
      </x:c>
      <x:c r="E9" s="152"/>
      <x:c r="F9" s="152"/>
      <x:c r="G9" s="152"/>
      <x:c r="H9" s="152"/>
      <x:c r="I9" s="152"/>
      <x:c r="J9" s="152"/>
      <x:c r="K9" s="152"/>
      <x:c r="L9" s="152"/>
      <x:c r="M9" s="152"/>
      <x:c r="N9" s="152"/>
      <x:c r="O9" s="152"/>
      <x:c r="P9" s="171" t="s">
        <x:v>2</x:v>
      </x:c>
      <x:c r="Q9" s="181"/>
      <x:c r="R9" s="181"/>
      <x:c r="S9" s="207" t="str">
        <x:v>test@example.com</x:v>
      </x:c>
      <x:c r="T9" s="152"/>
      <x:c r="U9" s="152"/>
      <x:c r="V9" s="152"/>
      <x:c r="W9" s="152"/>
      <x:c r="X9" s="152"/>
      <x:c r="Y9" s="152"/>
      <x:c r="Z9" s="152"/>
      <x:c r="AA9" s="152"/>
      <x:c r="AB9" s="152"/>
      <x:c r="AC9" s="152"/>
    </x:row>
    <x:row r="10" spans="1:29" ht="3.9" customHeight="1" x14ac:dyDescent="0.25">
      <x:c r="B10" s="4"/>
      <x:c r="C10" s="4"/>
      <x:c r="D10" s="34"/>
      <x:c r="E10" s="206"/>
      <x:c r="F10" s="206"/>
      <x:c r="G10" s="206"/>
      <x:c r="H10" s="206"/>
      <x:c r="I10" s="206"/>
      <x:c r="J10" s="206"/>
      <x:c r="K10" s="206"/>
      <x:c r="L10" s="206"/>
      <x:c r="M10" s="206"/>
      <x:c r="N10" s="206"/>
      <x:c r="O10" s="206"/>
      <x:c r="P10" s="4"/>
      <x:c r="Q10" s="4"/>
      <x:c r="R10" s="4"/>
      <x:c r="S10" s="34"/>
      <x:c r="T10" s="35"/>
      <x:c r="U10" s="34"/>
      <x:c r="V10" s="34"/>
      <x:c r="W10" s="34"/>
      <x:c r="X10" s="34"/>
      <x:c r="Y10" s="34"/>
      <x:c r="Z10" s="34"/>
      <x:c r="AA10" s="34"/>
      <x:c r="AB10" s="34"/>
      <x:c r="AC10" s="34"/>
    </x:row>
    <x:row r="11" spans="1:29" ht="15.9" customHeight="1" x14ac:dyDescent="0.25">
      <x:c r="A11" s="194" t="s">
        <x:v>111</x:v>
      </x:c>
      <x:c r="B11" s="194"/>
      <x:c r="C11" s="194"/>
      <x:c r="D11" s="204" t="str">
        <x:v>123 Test Street</x:v>
      </x:c>
      <x:c r="E11" s="204"/>
      <x:c r="F11" s="204"/>
      <x:c r="G11" s="204"/>
      <x:c r="H11" s="204"/>
      <x:c r="I11" s="204"/>
      <x:c r="J11" s="204"/>
      <x:c r="K11" s="204"/>
      <x:c r="L11" s="204"/>
      <x:c r="M11" s="204"/>
      <x:c r="N11" s="204"/>
      <x:c r="O11" s="204"/>
      <x:c r="P11" s="194" t="s">
        <x:v>3</x:v>
      </x:c>
      <x:c r="Q11" s="194"/>
      <x:c r="R11" s="194"/>
      <x:c r="S11" s="204" t="str">
        <x:v>+1234567890</x:v>
      </x:c>
      <x:c r="T11" s="204"/>
      <x:c r="U11" s="204"/>
      <x:c r="V11" s="204"/>
      <x:c r="W11" s="204"/>
      <x:c r="X11" s="204"/>
      <x:c r="Y11" s="204"/>
      <x:c r="Z11" s="204"/>
      <x:c r="AA11" s="204"/>
      <x:c r="AB11" s="204"/>
      <x:c r="AC11" s="204"/>
    </x:row>
    <x:row r="12" spans="1:29" ht="3.9" customHeight="1" x14ac:dyDescent="0.25">
      <x:c r="A12" s="17"/>
      <x:c r="B12" s="16"/>
      <x:c r="C12" s="16"/>
      <x:c r="D12" s="34"/>
      <x:c r="E12" s="206"/>
      <x:c r="F12" s="164"/>
      <x:c r="G12" s="164"/>
      <x:c r="H12" s="164"/>
      <x:c r="I12" s="164"/>
      <x:c r="J12" s="164"/>
      <x:c r="K12" s="164"/>
      <x:c r="L12" s="164"/>
      <x:c r="M12" s="164"/>
      <x:c r="N12" s="164"/>
      <x:c r="O12" s="164"/>
      <x:c r="P12" s="16"/>
      <x:c r="Q12" s="16"/>
      <x:c r="R12" s="16"/>
      <x:c r="S12" s="34"/>
      <x:c r="T12" s="35"/>
      <x:c r="U12" s="34"/>
      <x:c r="V12" s="34"/>
      <x:c r="W12" s="34"/>
      <x:c r="X12" s="34"/>
      <x:c r="Y12" s="34"/>
      <x:c r="Z12" s="34"/>
      <x:c r="AA12" s="34"/>
      <x:c r="AB12" s="34"/>
      <x:c r="AC12" s="34"/>
    </x:row>
    <x:row r="13" spans="1:29" ht="15.9" customHeight="1" x14ac:dyDescent="0.25">
      <x:c r="A13" s="194" t="s">
        <x:v>60</x:v>
      </x:c>
      <x:c r="B13" s="194"/>
      <x:c r="C13" s="194"/>
      <x:c r="D13" s="204" t="str">
        <x:v>Test City, Test State, Test Country</x:v>
      </x:c>
      <x:c r="E13" s="204"/>
      <x:c r="F13" s="204"/>
      <x:c r="G13" s="204"/>
      <x:c r="H13" s="204"/>
      <x:c r="I13" s="204"/>
      <x:c r="J13" s="204"/>
      <x:c r="K13" s="204"/>
      <x:c r="L13" s="204"/>
      <x:c r="M13" s="204"/>
      <x:c r="N13" s="204"/>
      <x:c r="O13" s="204"/>
      <x:c r="P13" s="194" t="s">
        <x:v>4</x:v>
      </x:c>
      <x:c r="Q13" s="194"/>
      <x:c r="R13" s="194"/>
      <x:c r="S13" s="204"/>
      <x:c r="T13" s="204"/>
      <x:c r="U13" s="204"/>
      <x:c r="V13" s="204"/>
      <x:c r="W13" s="204"/>
      <x:c r="X13" s="204"/>
      <x:c r="Y13" s="204"/>
      <x:c r="Z13" s="204"/>
      <x:c r="AA13" s="204"/>
      <x:c r="AB13" s="204"/>
      <x:c r="AC13" s="204"/>
    </x:row>
    <x:row r="14" spans="1:29" ht="15.9" customHeight="1" x14ac:dyDescent="0.25">
      <x:c r="B14" s="5"/>
      <x:c r="C14" s="5"/>
      <x:c r="D14" s="4"/>
      <x:c r="E14" s="161"/>
      <x:c r="F14" s="161"/>
      <x:c r="G14" s="161"/>
      <x:c r="H14" s="161"/>
      <x:c r="I14" s="161"/>
      <x:c r="J14" s="161"/>
      <x:c r="K14" s="161"/>
      <x:c r="L14" s="161"/>
      <x:c r="M14" s="161"/>
      <x:c r="N14" s="161"/>
      <x:c r="O14" s="161"/>
      <x:c r="P14" s="4"/>
      <x:c r="Q14" s="4"/>
      <x:c r="R14" s="4"/>
      <x:c r="S14" s="4"/>
      <x:c r="T14" s="4"/>
    </x:row>
    <x:row r="15" spans="1:29" ht="15.9" customHeight="1" x14ac:dyDescent="0.25">
      <x:c r="A15" s="151" t="s">
        <x:v>112</x:v>
      </x:c>
      <x:c r="B15" s="151"/>
      <x:c r="C15" s="151"/>
      <x:c r="D15" s="151"/>
      <x:c r="E15" s="152" t="str">
        <x:v>Test Observatory</x:v>
      </x:c>
      <x:c r="F15" s="152"/>
      <x:c r="G15" s="152"/>
      <x:c r="H15" s="152"/>
      <x:c r="I15" s="152"/>
      <x:c r="J15" s="152"/>
      <x:c r="K15" s="152"/>
      <x:c r="L15" s="152"/>
      <x:c r="M15" s="152"/>
      <x:c r="N15" s="152"/>
      <x:c r="O15" s="152"/>
      <x:c r="P15" s="152"/>
      <x:c r="Q15" s="152"/>
      <x:c r="R15" s="152"/>
      <x:c r="S15" s="163" t="s">
        <x:v>156</x:v>
      </x:c>
      <x:c r="T15" s="163"/>
      <x:c r="U15" s="163"/>
      <x:c r="V15" s="163"/>
      <x:c r="W15" s="163"/>
      <x:c r="X15" s="164"/>
      <x:c r="Y15" s="164"/>
      <x:c r="Z15" s="164"/>
      <x:c r="AA15" s="164"/>
      <x:c r="AB15" s="164"/>
      <x:c r="AC15" s="164"/>
    </x:row>
    <x:row r="16" spans="1:29" ht="15.9" customHeight="1" x14ac:dyDescent="0.25">
      <x:c r="B16" s="5"/>
      <x:c r="C16" s="5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</x:row>
    <x:row r="17" spans="1:30" ht="15.9" customHeight="1" x14ac:dyDescent="0.25">
      <x:c r="B17" s="4"/>
      <x:c r="C17" s="4"/>
      <x:c r="D17" s="5"/>
      <x:c r="E17" s="149" t="str">
        <x:v>deg.ddddd</x:v>
      </x:c>
      <x:c r="F17" s="150"/>
      <x:c r="G17" s="150"/>
      <x:c r="H17" s="150"/>
      <x:c r="I17" s="4"/>
      <x:c r="J17" s="5" t="s">
        <x:v>56</x:v>
      </x:c>
      <x:c r="K17" s="4"/>
      <x:c r="L17" s="4"/>
      <x:c r="M17" s="4"/>
      <x:c r="N17" s="149" t="str">
        <x:v>deg.ddddd</x:v>
      </x:c>
      <x:c r="O17" s="149"/>
      <x:c r="P17" s="149"/>
      <x:c r="Q17" s="4"/>
      <x:c r="R17" s="5" t="s">
        <x:v>57</x:v>
      </x:c>
      <x:c r="S17" s="5"/>
      <x:c r="T17" s="4"/>
      <x:c r="U17" s="4"/>
      <x:c r="W17" s="5" t="s">
        <x:v>63</x:v>
      </x:c>
      <x:c r="X17" s="5"/>
    </x:row>
    <x:row r="18" spans="1:30" ht="15.9" customHeight="1" x14ac:dyDescent="0.25">
      <x:c r="A18" s="151" t="s">
        <x:v>115</x:v>
      </x:c>
      <x:c r="B18" s="151"/>
      <x:c r="C18" s="181" t="s">
        <x:v>61</x:v>
      </x:c>
      <x:c r="D18" s="181"/>
      <x:c r="E18" s="166" t="n">
        <x:v>36.8356</x:v>
      </x:c>
      <x:c r="F18" s="166"/>
      <x:c r="G18" s="166"/>
      <x:c r="H18" s="166"/>
      <x:c r="I18" s="26"/>
      <x:c r="J18" s="100" t="str">
        <x:v>S</x:v>
      </x:c>
      <x:c r="K18" s="9"/>
      <x:c r="L18" s="165" t="s">
        <x:v>62</x:v>
      </x:c>
      <x:c r="M18" s="165"/>
      <x:c r="N18" s="166" t="n">
        <x:v>174.6578</x:v>
      </x:c>
      <x:c r="O18" s="166"/>
      <x:c r="P18" s="166"/>
      <x:c r="Q18" s="27"/>
      <x:c r="R18" s="101" t="str">
        <x:v>E</x:v>
      </x:c>
      <x:c r="S18" s="28"/>
      <x:c r="T18" s="165" t="s">
        <x:v>155</x:v>
      </x:c>
      <x:c r="U18" s="165"/>
      <x:c r="V18" s="135" t="n">
        <x:v>25</x:v>
      </x:c>
      <x:c r="W18" s="101" t="str">
        <x:v>m</x:v>
      </x:c>
      <x:c r="X18" s="165" t="s">
        <x:v>5</x:v>
      </x:c>
      <x:c r="Y18" s="165"/>
      <x:c r="Z18" s="23"/>
      <x:c r="AA18" s="167" t="str">
        <x:v>WGS84</x:v>
      </x:c>
      <x:c r="AB18" s="167"/>
      <x:c r="AC18" s="167"/>
    </x:row>
    <x:row r="19" spans="1:30" ht="15.9" customHeight="1" x14ac:dyDescent="0.25">
      <x:c r="B19" s="4"/>
      <x:c r="C19" s="4"/>
      <x:c r="D19" s="4"/>
      <x:c r="E19" s="4"/>
      <x:c r="F19" s="4"/>
      <x:c r="G19" s="4"/>
      <x:c r="H19" s="5" t="s">
        <x:v>67</x:v>
      </x:c>
      <x:c r="I19" s="5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161"/>
      <x:c r="U19" s="162"/>
      <x:c r="V19" s="162"/>
      <x:c r="W19" s="162"/>
      <x:c r="X19" s="162"/>
      <x:c r="Y19" s="162"/>
      <x:c r="Z19" s="162"/>
      <x:c r="AA19" s="162"/>
      <x:c r="AB19" s="162"/>
      <x:c r="AC19" s="162"/>
    </x:row>
    <x:row r="20" spans="1:30" ht="15.9" customHeight="1" x14ac:dyDescent="0.25">
      <x:c r="A20" s="151" t="s">
        <x:v>7</x:v>
      </x:c>
      <x:c r="B20" s="151"/>
      <x:c r="C20" s="181" t="s">
        <x:v>64</x:v>
      </x:c>
      <x:c r="D20" s="181"/>
      <x:c r="E20" s="148" t="n">
        <x:v>23.5</x:v>
      </x:c>
      <x:c r="F20" s="148"/>
      <x:c r="G20" s="29"/>
      <x:c r="H20" s="100" t="str">
        <x:v>cm</x:v>
      </x:c>
      <x:c r="I20" s="30"/>
      <x:c r="J20" s="181" t="s">
        <x:v>8</x:v>
      </x:c>
      <x:c r="K20" s="181"/>
      <x:c r="L20" s="136" t="n">
        <x:v>6.4</x:v>
      </x:c>
      <x:c r="M20" s="181" t="s">
        <x:v>9</x:v>
      </x:c>
      <x:c r="N20" s="181"/>
      <x:c r="O20" s="181"/>
      <x:c r="P20" s="136"/>
      <x:c r="Q20" s="26"/>
      <x:c r="R20" s="181" t="s">
        <x:v>10</x:v>
      </x:c>
      <x:c r="S20" s="181"/>
      <x:c r="T20" s="153" t="str">
        <x:v>SCT including Cass and Mak</x:v>
      </x:c>
      <x:c r="U20" s="153"/>
      <x:c r="V20" s="153"/>
      <x:c r="W20" s="153"/>
      <x:c r="X20" s="153"/>
      <x:c r="Y20" s="153"/>
      <x:c r="Z20" s="153"/>
      <x:c r="AA20" s="153"/>
      <x:c r="AB20" s="153"/>
      <x:c r="AC20" s="153"/>
    </x:row>
    <x:row r="21" spans="1:30" ht="15.9" customHeight="1" x14ac:dyDescent="0.25">
      <x:c r="A21" s="151"/>
      <x:c r="B21" s="151"/>
      <x:c r="E21" s="180"/>
      <x:c r="F21" s="180"/>
      <x:c r="G21" s="4"/>
      <x:c r="H21" s="4"/>
      <x:c r="I21" s="4"/>
      <x:c r="J21" s="4"/>
      <x:c r="K21" s="4"/>
      <x:c r="L21" s="4"/>
      <x:c r="M21" s="4"/>
      <x:c r="N21" s="4"/>
      <x:c r="O21" s="161"/>
      <x:c r="P21" s="162"/>
      <x:c r="Q21" s="162"/>
      <x:c r="R21" s="162"/>
      <x:c r="S21" s="162"/>
      <x:c r="T21" s="162"/>
      <x:c r="U21" s="162"/>
      <x:c r="V21" s="162"/>
    </x:row>
    <x:row r="22" spans="1:30" ht="15.9" customHeight="1" x14ac:dyDescent="0.25">
      <x:c r="A22" s="151" t="s">
        <x:v>20</x:v>
      </x:c>
      <x:c r="B22" s="151"/>
      <x:c r="C22" s="155" t="str">
        <x:v>GPS PPS</x:v>
      </x:c>
      <x:c r="D22" s="155"/>
      <x:c r="E22" s="155"/>
      <x:c r="F22" s="155"/>
      <x:c r="G22" s="155"/>
      <x:c r="H22" s="155"/>
      <x:c r="I22" s="155"/>
      <x:c r="J22" s="155"/>
      <x:c r="K22" s="155"/>
      <x:c r="L22" s="30"/>
      <x:c r="M22" s="171" t="s">
        <x:v>27</x:v>
      </x:c>
      <x:c r="N22" s="171"/>
      <x:c r="O22" s="152" t="str">
        <x:v>Video Recording</x:v>
      </x:c>
      <x:c r="P22" s="152"/>
      <x:c r="Q22" s="152"/>
      <x:c r="R22" s="152"/>
      <x:c r="S22" s="152"/>
      <x:c r="T22" s="152"/>
      <x:c r="U22" s="152"/>
      <x:c r="V22" s="152"/>
      <x:c r="W22" s="208" t="s">
        <x:v>68</x:v>
      </x:c>
      <x:c r="X22" s="208"/>
      <x:c r="Y22" s="208"/>
      <x:c r="Z22" s="208"/>
      <x:c r="AA22" s="152" t="str">
        <x:v>Yes</x:v>
      </x:c>
      <x:c r="AB22" s="152"/>
      <x:c r="AC22" s="152"/>
    </x:row>
    <x:row r="23" spans="1:30" ht="15.9" customHeight="1" x14ac:dyDescent="0.25">
      <x:c r="A23" s="151" t="s">
        <x:v>267</x:v>
      </x:c>
      <x:c r="B23" s="151"/>
      <x:c r="C23" s="32"/>
      <x:c r="E23" s="197" t="str">
        <x:v>SharpCap</x:v>
      </x:c>
      <x:c r="F23" s="197"/>
      <x:c r="G23" s="197"/>
      <x:c r="H23" s="197"/>
      <x:c r="I23" s="197"/>
      <x:c r="J23" s="84"/>
      <x:c r="K23" s="84"/>
      <x:c r="L23" s="171" t="s">
        <x:v>422</x:v>
      </x:c>
      <x:c r="M23" s="172"/>
      <x:c r="N23" s="172"/>
      <x:c r="O23" s="227" t="str">
        <x:v>AOTA (part of OCCULT4)</x:v>
      </x:c>
      <x:c r="P23" s="228"/>
      <x:c r="Q23" s="228"/>
      <x:c r="R23" s="228"/>
      <x:c r="S23" s="228"/>
      <x:c r="T23" s="228"/>
      <x:c r="U23" s="68"/>
      <x:c r="V23" s="78" t="str">
        <x:f>IF(LEFT(_CamFormat,3)="AAV","Use Camera Delay Applied in PE/Delay  below","")</x:f>
        <x:v/>
      </x:c>
    </x:row>
    <x:row r="24" spans="1:30" ht="15.9" customHeight="1" x14ac:dyDescent="0.25">
      <x:c r="A24" s="156" t="s">
        <x:v>421</x:v>
      </x:c>
      <x:c r="B24" s="156"/>
      <x:c r="C24" s="156"/>
      <x:c r="D24" s="156"/>
      <x:c r="E24" s="156"/>
      <x:c r="F24" s="156"/>
      <x:c r="G24" s="156"/>
      <x:c r="H24" s="156"/>
      <x:c r="I24" s="156"/>
      <x:c r="J24" s="156"/>
      <x:c r="K24" s="68" t="s">
        <x:v>182</x:v>
      </x:c>
      <x:c r="L24" s="4"/>
      <x:c r="M24" s="4"/>
      <x:c r="O24" s="43" t="s">
        <x:v>419</x:v>
      </x:c>
      <x:c r="V24" s="86" t="s">
        <x:v>195</x:v>
      </x:c>
    </x:row>
    <x:row r="25" spans="1:30" ht="15.9" customHeight="1" x14ac:dyDescent="0.25">
      <x:c r="A25" s="151" t="s">
        <x:v>168</x:v>
      </x:c>
      <x:c r="B25" s="151"/>
      <x:c r="C25" t="s">
        <x:v>162</x:v>
      </x:c>
      <x:c r="E25" s="158" t="str">
        <x:v>Test Detector</x:v>
      </x:c>
      <x:c r="F25" s="158"/>
      <x:c r="G25" s="158"/>
      <x:c r="H25" s="158"/>
      <x:c r="I25" s="158"/>
      <x:c r="J25" s="4"/>
      <x:c r="K25" s="43" t="s">
        <x:v>163</x:v>
      </x:c>
      <x:c r="L25" s="157" t="str">
        <x:v>SER</x:v>
      </x:c>
      <x:c r="M25" s="157"/>
      <x:c r="N25" s="165" t="s">
        <x:v>428</x:v>
      </x:c>
      <x:c r="O25" s="165"/>
      <x:c r="P25" s="137" t="n">
        <x:v>0.04</x:v>
      </x:c>
      <x:c r="R25" s="43" t="s">
        <x:v>167</x:v>
      </x:c>
      <x:c r="S25" s="159" t="s">
        <x:v>166</x:v>
      </x:c>
      <x:c r="T25" s="159" t="str">
        <x:v>Seconds</x:v>
      </x:c>
      <x:c r="U25" s="43"/>
      <x:c r="V25" s="226"/>
      <x:c r="W25" s="226"/>
      <x:c r="X25" s="226"/>
      <x:c r="Y25" s="226"/>
      <x:c r="Z25" s="226"/>
      <x:c r="AA25" s="226"/>
      <x:c r="AB25" s="226"/>
      <x:c r="AC25" s="226"/>
      <x:c r="AD25" s="48"/>
    </x:row>
    <x:row r="26" spans="1:30" ht="15.9" customHeight="1" x14ac:dyDescent="0.25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223" t="s">
        <x:v>432</x:v>
      </x:c>
      <x:c r="L26" s="223"/>
      <x:c r="M26" s="223"/>
      <x:c r="N26" s="223"/>
      <x:c r="O26" s="223" t="str">
        <x:v>yes</x:v>
      </x:c>
      <x:c r="P26" s="129" t="n">
        <x:v>0.045</x:v>
      </x:c>
      <x:c r="Q26" s="195" t="s">
        <x:v>433</x:v>
      </x:c>
      <x:c r="R26" s="196"/>
      <x:c r="S26" s="196"/>
      <x:c r="T26" s="196"/>
      <x:c r="U26" s="196"/>
      <x:c r="V26" s="131"/>
      <x:c r="W26" t="s">
        <x:v>429</x:v>
      </x:c>
      <x:c r="X26" t="s">
        <x:v>430</x:v>
      </x:c>
      <x:c r="AB26" s="43"/>
      <x:c r="AC26" s="130" t="s">
        <x:v>49</x:v>
      </x:c>
    </x:row>
    <x:row r="27" spans="1:30" ht="15.9" customHeight="1" x14ac:dyDescent="0.25">
      <x:c r="A27" s="193" t="s">
        <x:v>41</x:v>
      </x:c>
      <x:c r="B27" s="193"/>
      <x:c r="C27" s="30"/>
      <x:c r="D27" s="181" t="s">
        <x:v>110</x:v>
      </x:c>
      <x:c r="E27" s="181"/>
      <x:c r="F27" s="181"/>
      <x:c r="G27" s="181"/>
      <x:c r="H27" s="153" t="s">
        <x:v>101</x:v>
      </x:c>
      <x:c r="I27" s="153"/>
      <x:c r="J27" s="153"/>
      <x:c r="K27" s="153"/>
      <x:c r="L27" s="30"/>
      <x:c r="M27" s="181" t="s">
        <x:v>45</x:v>
      </x:c>
      <x:c r="N27" s="181"/>
      <x:c r="O27" s="181"/>
      <x:c r="P27" s="153"/>
      <x:c r="Q27" s="153"/>
      <x:c r="R27" s="153"/>
      <x:c r="S27" s="153"/>
      <x:c r="T27" s="30"/>
      <x:c r="U27" s="154" t="s">
        <x:v>51</x:v>
      </x:c>
      <x:c r="V27" s="154"/>
      <x:c r="W27" s="154"/>
      <x:c r="X27" s="152"/>
      <x:c r="Y27" s="152"/>
      <x:c r="Z27" s="152"/>
      <x:c r="AA27" s="152"/>
      <x:c r="AB27" s="152"/>
      <x:c r="AC27" s="152"/>
    </x:row>
    <x:row r="28" spans="1:30" ht="15.9" customHeight="1" x14ac:dyDescent="0.25">
      <x:c r="B28" s="10"/>
      <x:c r="C28" s="4"/>
      <x:c r="D28" s="4"/>
      <x:c r="E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</x:row>
    <x:row r="29" spans="1:30" ht="15.9" customHeight="1" x14ac:dyDescent="0.25">
      <x:c r="A29" s="151" t="s">
        <x:v>91</x:v>
      </x:c>
      <x:c r="B29" s="151"/>
      <x:c r="C29" s="151"/>
      <x:c r="D29" s="198" t="s">
        <x:v>420</x:v>
      </x:c>
      <x:c r="E29" s="199"/>
      <x:c r="F29" s="199"/>
      <x:c r="G29" s="199"/>
      <x:c r="H29" s="199"/>
      <x:c r="I29" s="199"/>
      <x:c r="J29" s="199"/>
      <x:c r="K29" s="199"/>
      <x:c r="L29" s="199"/>
      <x:c r="M29" s="199"/>
      <x:c r="N29" s="199"/>
      <x:c r="O29" s="199"/>
      <x:c r="P29" s="199"/>
      <x:c r="Q29" s="199"/>
      <x:c r="R29" s="199"/>
      <x:c r="S29" s="199"/>
      <x:c r="T29" s="199"/>
      <x:c r="U29" s="199"/>
      <x:c r="V29" s="199"/>
      <x:c r="W29" s="199"/>
      <x:c r="X29" s="199"/>
      <x:c r="Y29" s="199"/>
      <x:c r="Z29" s="199"/>
      <x:c r="AA29" s="199"/>
      <x:c r="AB29" s="199"/>
      <x:c r="AC29" s="199"/>
    </x:row>
    <x:row r="30" spans="1:30" ht="15.9" customHeight="1" x14ac:dyDescent="0.25">
      <x:c r="B30" s="4"/>
      <x:c r="C30" s="4"/>
      <x:c r="D30" s="4"/>
      <x:c r="E30" s="4"/>
      <x:c r="F30" s="161" t="s">
        <x:v>69</x:v>
      </x:c>
      <x:c r="G30" s="161"/>
      <x:c r="H30" s="161"/>
      <x:c r="I30" s="161"/>
      <x:c r="J30" s="161"/>
      <x:c r="K30" s="161"/>
      <x:c r="L30" s="4"/>
      <x:c r="M30" s="182" t="s">
        <x:v>92</x:v>
      </x:c>
      <x:c r="N30" s="182"/>
      <x:c r="O30" s="13" t="s">
        <x:v>93</x:v>
      </x:c>
      <x:c r="P30" s="182" t="s">
        <x:v>186</x:v>
      </x:c>
      <x:c r="Q30" s="161"/>
      <x:c r="R30" s="161"/>
      <x:c r="S30" s="161"/>
      <x:c r="T30" s="161"/>
      <x:c r="U30" s="188" t="s">
        <x:v>413</x:v>
      </x:c>
      <x:c r="V30" s="188"/>
      <x:c r="W30" s="188"/>
      <x:c r="X30" s="188"/>
      <x:c r="Y30" s="188"/>
      <x:c r="Z30" s="188"/>
      <x:c r="AA30" s="188"/>
      <x:c r="AB30" s="188"/>
      <x:c r="AC30" s="188"/>
    </x:row>
    <x:row r="31" spans="1:30" ht="15.9" customHeight="1" x14ac:dyDescent="0.25">
      <x:c r="A31" s="165" t="s">
        <x:v>52</x:v>
      </x:c>
      <x:c r="B31" s="165"/>
      <x:c r="C31" s="165"/>
      <x:c r="D31" s="165"/>
      <x:c r="E31" s="165"/>
      <x:c r="F31" s="138" t="n">
        <x:v>10</x:v>
      </x:c>
      <x:c r="G31" s="36" t="s">
        <x:v>85</x:v>
      </x:c>
      <x:c r="H31" s="139" t="n">
        <x:v>2</x:v>
      </x:c>
      <x:c r="I31" s="36" t="s">
        <x:v>85</x:v>
      </x:c>
      <x:c r="J31" s="190" t="n">
        <x:v>30.123</x:v>
      </x:c>
      <x:c r="K31" s="190"/>
      <x:c r="L31" s="31"/>
      <x:c r="M31" s="32"/>
      <x:c r="N31" s="32"/>
      <x:c r="O31" s="32"/>
      <x:c r="Q31" s="32"/>
      <x:c r="R31" s="32"/>
      <x:c r="S31" s="32"/>
      <x:c r="T31" s="27"/>
      <x:c r="U31" s="177"/>
      <x:c r="V31" s="177"/>
      <x:c r="W31" s="177"/>
      <x:c r="X31" s="177"/>
      <x:c r="Y31" s="177"/>
      <x:c r="Z31" s="177"/>
      <x:c r="AA31" s="177"/>
      <x:c r="AB31" s="177"/>
      <x:c r="AC31" s="177"/>
    </x:row>
    <x:row r="32" spans="1:30" ht="15.9" customHeight="1" x14ac:dyDescent="0.25">
      <x:c r="A32" s="165" t="s">
        <x:v>53</x:v>
      </x:c>
      <x:c r="B32" s="183"/>
      <x:c r="C32" s="183"/>
      <x:c r="D32" s="183"/>
      <x:c r="E32" s="183"/>
      <x:c r="F32" s="39"/>
      <x:c r="G32" s="36" t="s">
        <x:v>85</x:v>
      </x:c>
      <x:c r="H32" s="40"/>
      <x:c r="I32" s="36" t="s">
        <x:v>85</x:v>
      </x:c>
      <x:c r="J32" s="185"/>
      <x:c r="K32" s="185"/>
      <x:c r="L32" s="31"/>
      <x:c r="M32" s="32"/>
      <x:c r="N32" s="32"/>
      <x:c r="O32" s="32"/>
      <x:c r="P32" s="32"/>
      <x:c r="Q32" s="32"/>
      <x:c r="R32" s="32"/>
      <x:c r="S32" s="32"/>
      <x:c r="T32" s="27"/>
      <x:c r="U32" s="177"/>
      <x:c r="V32" s="177"/>
      <x:c r="W32" s="177"/>
      <x:c r="X32" s="177"/>
      <x:c r="Y32" s="177"/>
      <x:c r="Z32" s="177"/>
      <x:c r="AA32" s="177"/>
      <x:c r="AB32" s="177"/>
      <x:c r="AC32" s="177"/>
    </x:row>
    <x:row r="33" spans="1:29" ht="15.9" customHeight="1" x14ac:dyDescent="0.25">
      <x:c r="A33" s="186" t="s">
        <x:v>54</x:v>
      </x:c>
      <x:c r="B33" s="183"/>
      <x:c r="C33" s="183"/>
      <x:c r="D33" s="183"/>
      <x:c r="E33" s="183"/>
      <x:c r="F33" s="142"/>
      <x:c r="G33" s="36" t="s">
        <x:v>85</x:v>
      </x:c>
      <x:c r="H33" s="143"/>
      <x:c r="I33" s="36" t="s">
        <x:v>85</x:v>
      </x:c>
      <x:c r="J33" s="205"/>
      <x:c r="K33" s="205"/>
      <x:c r="L33" s="31"/>
      <x:c r="M33" s="176"/>
      <x:c r="N33" s="176"/>
      <x:c r="O33" s="146"/>
      <x:c r="P33" s="178"/>
      <x:c r="Q33" s="179"/>
      <x:c r="R33" s="179"/>
      <x:c r="S33" s="179"/>
      <x:c r="T33" s="179"/>
      <x:c r="U33" s="177"/>
      <x:c r="V33" s="177"/>
      <x:c r="W33" s="177"/>
      <x:c r="X33" s="177"/>
      <x:c r="Y33" s="177"/>
      <x:c r="Z33" s="177"/>
      <x:c r="AA33" s="177"/>
      <x:c r="AB33" s="177"/>
      <x:c r="AC33" s="177"/>
    </x:row>
    <x:row r="34" spans="1:29" ht="15.9" customHeight="1" x14ac:dyDescent="0.25">
      <x:c r="A34" s="165" t="s">
        <x:v>137</x:v>
      </x:c>
      <x:c r="B34" s="183"/>
      <x:c r="C34" s="183"/>
      <x:c r="D34" s="183"/>
      <x:c r="E34" s="183"/>
      <x:c r="F34" s="39"/>
      <x:c r="G34" s="36" t="s">
        <x:v>85</x:v>
      </x:c>
      <x:c r="H34" s="40"/>
      <x:c r="I34" s="36" t="s">
        <x:v>85</x:v>
      </x:c>
      <x:c r="J34" s="185"/>
      <x:c r="K34" s="185"/>
      <x:c r="L34" s="31"/>
      <x:c r="P34" s="32"/>
      <x:c r="Q34" s="32"/>
      <x:c r="R34" s="32"/>
      <x:c r="S34" s="32"/>
      <x:c r="T34" s="27"/>
      <x:c r="U34" s="177"/>
      <x:c r="V34" s="177"/>
      <x:c r="W34" s="177"/>
      <x:c r="X34" s="177"/>
      <x:c r="Y34" s="177"/>
      <x:c r="Z34" s="177"/>
      <x:c r="AA34" s="177"/>
      <x:c r="AB34" s="177"/>
      <x:c r="AC34" s="177"/>
    </x:row>
    <x:row r="35" spans="1:29" ht="15.9" customHeight="1" x14ac:dyDescent="0.25">
      <x:c r="A35" s="186" t="s">
        <x:v>55</x:v>
      </x:c>
      <x:c r="B35" s="183"/>
      <x:c r="C35" s="183"/>
      <x:c r="D35" s="183"/>
      <x:c r="E35" s="183"/>
      <x:c r="F35" s="144"/>
      <x:c r="G35" s="36" t="s">
        <x:v>85</x:v>
      </x:c>
      <x:c r="H35" s="145"/>
      <x:c r="I35" s="36" t="s">
        <x:v>85</x:v>
      </x:c>
      <x:c r="J35" s="192"/>
      <x:c r="K35" s="192"/>
      <x:c r="L35" s="31"/>
      <x:c r="M35" s="187"/>
      <x:c r="N35" s="187"/>
      <x:c r="O35" s="146"/>
      <x:c r="P35" s="178"/>
      <x:c r="Q35" s="179"/>
      <x:c r="R35" s="179"/>
      <x:c r="S35" s="179"/>
      <x:c r="T35" s="179"/>
      <x:c r="U35" s="177"/>
      <x:c r="V35" s="177"/>
      <x:c r="W35" s="177"/>
      <x:c r="X35" s="177"/>
      <x:c r="Y35" s="177"/>
      <x:c r="Z35" s="177"/>
      <x:c r="AA35" s="177"/>
      <x:c r="AB35" s="177"/>
      <x:c r="AC35" s="177"/>
    </x:row>
    <x:row r="36" spans="1:29" ht="15.9" customHeight="1" x14ac:dyDescent="0.25">
      <x:c r="A36" s="165" t="s">
        <x:v>138</x:v>
      </x:c>
      <x:c r="B36" s="183"/>
      <x:c r="C36" s="183"/>
      <x:c r="D36" s="183"/>
      <x:c r="E36" s="183"/>
      <x:c r="F36" s="39"/>
      <x:c r="G36" s="36" t="s">
        <x:v>85</x:v>
      </x:c>
      <x:c r="H36" s="40"/>
      <x:c r="I36" s="36" t="s">
        <x:v>85</x:v>
      </x:c>
      <x:c r="J36" s="185"/>
      <x:c r="K36" s="185"/>
      <x:c r="L36" s="31"/>
      <x:c r="M36" s="32"/>
      <x:c r="N36" s="32"/>
      <x:c r="O36" s="32"/>
      <x:c r="P36" s="32"/>
      <x:c r="Q36" s="32"/>
      <x:c r="R36" s="32"/>
      <x:c r="S36" s="32"/>
      <x:c r="T36" s="27"/>
      <x:c r="U36" s="177"/>
      <x:c r="V36" s="177"/>
      <x:c r="W36" s="177"/>
      <x:c r="X36" s="177"/>
      <x:c r="Y36" s="177"/>
      <x:c r="Z36" s="177"/>
      <x:c r="AA36" s="177"/>
      <x:c r="AB36" s="177"/>
      <x:c r="AC36" s="177"/>
    </x:row>
    <x:row r="37" spans="1:29" ht="15.9" customHeight="1" x14ac:dyDescent="0.25">
      <x:c r="A37" s="165" t="s">
        <x:v>70</x:v>
      </x:c>
      <x:c r="B37" s="183"/>
      <x:c r="C37" s="183"/>
      <x:c r="D37" s="183"/>
      <x:c r="E37" s="183"/>
      <x:c r="F37" s="140" t="n">
        <x:v>10</x:v>
      </x:c>
      <x:c r="G37" s="36" t="s">
        <x:v>85</x:v>
      </x:c>
      <x:c r="H37" s="141" t="n">
        <x:v>4</x:v>
      </x:c>
      <x:c r="I37" s="36" t="s">
        <x:v>85</x:v>
      </x:c>
      <x:c r="J37" s="184" t="n">
        <x:v>45.678</x:v>
      </x:c>
      <x:c r="K37" s="184"/>
      <x:c r="L37" s="31"/>
      <x:c r="M37" s="32"/>
      <x:c r="N37" s="32"/>
      <x:c r="O37" s="32"/>
      <x:c r="P37" s="32"/>
      <x:c r="Q37" s="32"/>
      <x:c r="R37" s="32"/>
      <x:c r="S37" s="32"/>
      <x:c r="T37" s="27"/>
      <x:c r="U37" s="177"/>
      <x:c r="V37" s="177"/>
      <x:c r="W37" s="177"/>
      <x:c r="X37" s="177"/>
      <x:c r="Y37" s="177"/>
      <x:c r="Z37" s="177"/>
      <x:c r="AA37" s="177"/>
      <x:c r="AB37" s="177"/>
      <x:c r="AC37" s="177"/>
    </x:row>
    <x:row r="38" spans="1:29" ht="15.9" customHeight="1" x14ac:dyDescent="0.25">
      <x:c r="B38" s="4"/>
      <x:c r="C38" s="4"/>
      <x:c r="D38" s="4"/>
      <x:c r="E38" s="4"/>
      <x:c r="F38" s="19" t="s">
        <x:v>86</x:v>
      </x:c>
      <x:c r="G38" s="4"/>
      <x:c r="H38" s="11" t="s">
        <x:v>87</x:v>
      </x:c>
      <x:c r="I38" s="11"/>
      <x:c r="J38" s="191" t="s">
        <x:v>96</x:v>
      </x:c>
      <x:c r="K38" s="169"/>
      <x:c r="L38" s="5"/>
      <x:c r="M38" s="4"/>
      <x:c r="N38" s="4"/>
      <x:c r="O38" s="8"/>
      <x:c r="P38" s="8"/>
      <x:c r="Q38" s="8"/>
      <x:c r="R38" s="4"/>
      <x:c r="S38" s="4"/>
      <x:c r="T38" s="4"/>
      <x:c r="U38" s="4"/>
      <x:c r="W38" s="160" t="str">
        <x:v>no</x:v>
      </x:c>
      <x:c r="X38" s="150"/>
      <x:c r="Y38" s="64" t="s">
        <x:v>159</x:v>
      </x:c>
      <x:c r="Z38" s="65"/>
      <x:c r="AA38" s="66"/>
    </x:row>
    <x:row r="39" spans="1:29" ht="15.9" customHeight="1" x14ac:dyDescent="0.25">
      <x:c r="B39" s="4"/>
      <x:c r="C39" s="4"/>
      <x:c r="D39" s="4"/>
      <x:c r="E39" s="4"/>
      <x:c r="F39" s="4"/>
      <x:c r="G39" s="4"/>
      <x:c r="H39" s="11"/>
      <x:c r="I39" s="11"/>
      <x:c r="J39" s="11"/>
      <x:c r="K39" s="5"/>
      <x:c r="L39" s="5"/>
      <x:c r="M39" s="4"/>
      <x:c r="N39" s="4"/>
      <x:c r="O39" s="8"/>
      <x:c r="P39" s="8"/>
      <x:c r="Q39" s="8"/>
      <x:c r="R39" s="4"/>
      <x:c r="S39" s="4"/>
      <x:c r="T39" s="4"/>
      <x:c r="U39" s="4"/>
    </x:row>
    <x:row r="40" spans="1:29" ht="15.9" customHeight="1" x14ac:dyDescent="0.25">
      <x:c r="A40" s="32"/>
      <x:c r="B40" s="24"/>
      <x:c r="C40" s="33"/>
      <x:c r="D40" s="102" t="str">
        <x:v>No</x:v>
      </x:c>
      <x:c r="E40" s="189" t="s">
        <x:v>149</x:v>
      </x:c>
      <x:c r="F40" s="189"/>
      <x:c r="G40" s="189"/>
      <x:c r="H40" s="31" t="s">
        <x:v>181</x:v>
      </x:c>
      <x:c r="N40" s="14"/>
      <x:c r="O40" s="2"/>
      <x:c r="P40" s="67"/>
      <x:c r="Q40" s="9"/>
      <x:c r="R40" s="9"/>
      <x:c r="S40" s="9"/>
      <x:c r="T40" s="9"/>
      <x:c r="U40" s="171" t="s">
        <x:v>157</x:v>
      </x:c>
      <x:c r="V40" s="172"/>
      <x:c r="W40" s="173"/>
      <x:c r="X40" s="173"/>
      <x:c r="Y40" s="169" t="s">
        <x:v>158</x:v>
      </x:c>
      <x:c r="Z40" s="170"/>
      <x:c r="AA40" s="170"/>
      <x:c r="AB40" s="170"/>
      <x:c r="AC40" s="170"/>
    </x:row>
    <x:row r="41" spans="1:29" ht="15.9" customHeight="1" x14ac:dyDescent="0.25">
      <x:c r="B41" s="4"/>
      <x:c r="C41" s="4"/>
      <x:c r="D41" s="4"/>
      <x:c r="E41" s="175" t="s">
        <x:v>150</x:v>
      </x:c>
      <x:c r="F41" s="175"/>
      <x:c r="G41" s="9"/>
      <x:c r="H41" s="4"/>
      <x:c r="I41" s="4"/>
      <x:c r="J41" s="4"/>
      <x:c r="K41" s="174"/>
      <x:c r="L41" s="164"/>
      <x:c r="M41" s="4"/>
      <x:c r="N41" s="4"/>
      <x:c r="O41" s="4"/>
      <x:c r="P41" s="4"/>
      <x:c r="Q41" s="4"/>
      <x:c r="R41" s="4"/>
      <x:c r="S41" s="12"/>
      <x:c r="T41" s="4"/>
      <x:c r="U41" s="4"/>
    </x:row>
    <x:row r="42" spans="1:29" ht="24" customHeight="1" x14ac:dyDescent="0.25">
      <x:c r="A42" s="168" t="s">
        <x:v>71</x:v>
      </x:c>
      <x:c r="B42" s="168"/>
      <x:c r="C42" s="168"/>
      <x:c r="D42" s="37" t="str">
        <x:v>Test camera info</x:v>
      </x:c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38"/>
      <x:c r="AB42" s="38"/>
      <x:c r="AC42" s="38"/>
    </x:row>
    <x:row r="43" spans="1:29" ht="24" customHeight="1" x14ac:dyDescent="0.25">
      <x:c r="A43" s="168" t="s">
        <x:v>72</x:v>
      </x:c>
      <x:c r="B43" s="168"/>
      <x:c r="C43" s="168"/>
      <x:c r="D43" s="37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38"/>
      <x:c r="AB43" s="38"/>
      <x:c r="AC43" s="38"/>
    </x:row>
    <x:row r="44" spans="1:29" ht="24" customHeight="1" x14ac:dyDescent="0.25">
      <x:c r="D44" s="37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38"/>
      <x:c r="AC44" s="38"/>
    </x:row>
    <x:row r="45" spans="1:29" ht="24" customHeight="1" x14ac:dyDescent="0.25">
      <x:c r="D45" s="2"/>
      <x:c r="E45" s="6"/>
      <x:c r="F45" s="6"/>
      <x:c r="G45" s="6"/>
      <x:c r="H45" s="6"/>
      <x:c r="I45" s="6"/>
      <x:c r="J45" s="6"/>
      <x:c r="K45" s="6"/>
      <x:c r="L45" s="24"/>
      <x:c r="M45" s="24"/>
      <x:c r="N45" s="24"/>
      <x:c r="O45" s="24"/>
      <x:c r="P45" s="24" t="s">
        <x:v>434</x:v>
      </x:c>
      <x:c r="Q45" s="24"/>
      <x:c r="R45" s="24"/>
      <x:c r="S45" s="24"/>
      <x:c r="T45" s="24"/>
      <x:c r="U45" s="6"/>
      <x:c r="V45" s="6"/>
      <x:c r="W45" s="6"/>
      <x:c r="X45" s="6"/>
      <x:c r="Y45" s="6"/>
      <x:c r="Z45" s="6"/>
      <x:c r="AA45" s="6"/>
      <x:c r="AB45" s="6"/>
      <x:c r="AC45" s="6"/>
    </x:row>
    <x:row r="46" spans="1:29" ht="15.9" customHeight="1" x14ac:dyDescent="0.25">
      <x:c r="K46" s="32"/>
      <x:c r="M46" s="32"/>
      <x:c r="N46" s="32" t="s">
        <x:v>431</x:v>
      </x:c>
      <x:c r="O46" s="32"/>
      <x:c r="P46" s="32"/>
      <x:c r="Q46" s="32"/>
      <x:c r="R46" s="32"/>
      <x:c r="S46" s="32"/>
      <x:c r="T46" s="128" t="str">
        <x:f>IF(RIO="Yes","and to Felipe Braga Ribas [ribas@on.br]","")</x:f>
        <x:v/>
      </x:c>
    </x:row>
    <x:row r="47" spans="1:29" ht="15.9" customHeight="1" x14ac:dyDescent="0.25">
      <x:c r="K47" s="32"/>
      <x:c r="M47" s="32"/>
      <x:c r="N47" s="32"/>
      <x:c r="O47" s="32"/>
      <x:c r="P47" s="32"/>
      <x:c r="Q47" s="32"/>
      <x:c r="R47" s="32"/>
      <x:c r="S47" s="32"/>
      <x:c r="T47" s="128"/>
    </x:row>
    <x:row r="48" spans="1:29" ht="15.9" customHeight="1" x14ac:dyDescent="0.25">
      <x:c r="D48" s="229" t="s">
        <x:v>184</x:v>
      </x:c>
      <x:c r="E48" s="193"/>
      <x:c r="F48" s="193"/>
      <x:c r="G48" s="193"/>
      <x:c r="H48" s="193"/>
      <x:c r="I48" s="193"/>
      <x:c r="J48" s="193"/>
      <x:c r="K48" s="193"/>
      <x:c r="L48" s="193"/>
      <x:c r="M48" s="193"/>
      <x:c r="N48" s="193"/>
      <x:c r="O48" s="193"/>
      <x:c r="P48" s="193"/>
      <x:c r="Q48" s="193"/>
      <x:c r="R48" s="193"/>
      <x:c r="S48" s="193"/>
      <x:c r="T48" s="193"/>
      <x:c r="U48" s="193"/>
      <x:c r="V48" s="193"/>
      <x:c r="W48" s="193"/>
      <x:c r="X48" s="193"/>
      <x:c r="Y48" s="193"/>
      <x:c r="Z48" s="193"/>
      <x:c r="AA48" s="193"/>
      <x:c r="AB48" s="193"/>
      <x:c r="AC48" s="193"/>
    </x:row>
    <x:row r="49" ht="15.9" customHeight="1" x14ac:dyDescent="0.25"/>
  </x:sheetData>
  <x:sheetProtection formatRows="0"/>
  <x:mergeCells count="131">
    <x:mergeCell ref="D48:AC48"/>
    <x:mergeCell ref="A11:C11"/>
    <x:mergeCell ref="A20:B20"/>
    <x:mergeCell ref="C18:D18"/>
    <x:mergeCell ref="A18:B18"/>
    <x:mergeCell ref="A1:F1"/>
    <x:mergeCell ref="A2:F2"/>
    <x:mergeCell ref="A3:F3"/>
    <x:mergeCell ref="G1:V1"/>
    <x:mergeCell ref="T5:X5"/>
    <x:mergeCell ref="A7:C7"/>
    <x:mergeCell ref="A13:C13"/>
    <x:mergeCell ref="C20:D20"/>
    <x:mergeCell ref="L23:N23"/>
    <x:mergeCell ref="D11:O11"/>
    <x:mergeCell ref="S6:V6"/>
    <x:mergeCell ref="P9:R9"/>
    <x:mergeCell ref="D9:O9"/>
    <x:mergeCell ref="D13:O13"/>
    <x:mergeCell ref="A9:C9"/>
    <x:mergeCell ref="B5:C5"/>
    <x:mergeCell ref="D5:E5"/>
    <x:mergeCell ref="K5:L5"/>
    <x:mergeCell ref="O23:T23"/>
    <x:mergeCell ref="Z2:AC2"/>
    <x:mergeCell ref="J2:T2"/>
    <x:mergeCell ref="H7:J7"/>
    <x:mergeCell ref="E8:O8"/>
    <x:mergeCell ref="K7:O7"/>
    <x:mergeCell ref="P5:R5"/>
    <x:mergeCell ref="N5:O5"/>
    <x:mergeCell ref="Z3:AC3"/>
    <x:mergeCell ref="E7:F7"/>
    <x:mergeCell ref="J34:K34"/>
    <x:mergeCell ref="H5:J5"/>
    <x:mergeCell ref="X6:AC6"/>
    <x:mergeCell ref="X7:AC7"/>
    <x:mergeCell ref="S7:V7"/>
    <x:mergeCell ref="S11:AC11"/>
    <x:mergeCell ref="A34:E34"/>
    <x:mergeCell ref="J33:K33"/>
    <x:mergeCell ref="A29:C29"/>
    <x:mergeCell ref="P7:R7"/>
    <x:mergeCell ref="E10:O10"/>
    <x:mergeCell ref="S9:AC9"/>
    <x:mergeCell ref="M20:O20"/>
    <x:mergeCell ref="M22:N22"/>
    <x:mergeCell ref="O22:V22"/>
    <x:mergeCell ref="N18:P18"/>
    <x:mergeCell ref="E12:O12"/>
    <x:mergeCell ref="E14:O14"/>
    <x:mergeCell ref="AA22:AC22"/>
    <x:mergeCell ref="W22:Z22"/>
    <x:mergeCell ref="T20:AC20"/>
    <x:mergeCell ref="P11:R11"/>
    <x:mergeCell ref="S13:AC13"/>
    <x:mergeCell ref="K26:O26"/>
    <x:mergeCell ref="P13:R13"/>
    <x:mergeCell ref="R20:S20"/>
    <x:mergeCell ref="O21:V21"/>
    <x:mergeCell ref="L18:M18"/>
    <x:mergeCell ref="Q26:U26"/>
    <x:mergeCell ref="A23:B23"/>
    <x:mergeCell ref="E23:I23"/>
    <x:mergeCell ref="D29:AC29"/>
    <x:mergeCell ref="A32:E32"/>
    <x:mergeCell ref="V25:AC25"/>
    <x:mergeCell ref="A43:C43"/>
    <x:mergeCell ref="A42:C42"/>
    <x:mergeCell ref="Y40:AC40"/>
    <x:mergeCell ref="U40:V40"/>
    <x:mergeCell ref="W40:X40"/>
    <x:mergeCell ref="K41:L41"/>
    <x:mergeCell ref="E41:F41"/>
    <x:mergeCell ref="M33:N33"/>
    <x:mergeCell ref="U36:AC36"/>
    <x:mergeCell ref="U35:AC35"/>
    <x:mergeCell ref="P35:T35"/>
    <x:mergeCell ref="A37:E37"/>
    <x:mergeCell ref="J37:K37"/>
    <x:mergeCell ref="A33:E33"/>
    <x:mergeCell ref="J36:K36"/>
    <x:mergeCell ref="U37:AC37"/>
    <x:mergeCell ref="M35:N35"/>
    <x:mergeCell ref="U33:AC33"/>
    <x:mergeCell ref="P33:T33"/>
    <x:mergeCell ref="U34:AC34"/>
    <x:mergeCell ref="E40:G40"/>
    <x:mergeCell ref="J38:K38"/>
    <x:mergeCell ref="A36:E36"/>
    <x:mergeCell ref="A35:E35"/>
    <x:mergeCell ref="W38:X38"/>
    <x:mergeCell ref="T19:AC19"/>
    <x:mergeCell ref="A15:D15"/>
    <x:mergeCell ref="N17:P17"/>
    <x:mergeCell ref="E15:R15"/>
    <x:mergeCell ref="S15:AC15"/>
    <x:mergeCell ref="T18:U18"/>
    <x:mergeCell ref="E18:H18"/>
    <x:mergeCell ref="AA18:AC18"/>
    <x:mergeCell ref="X18:Y18"/>
    <x:mergeCell ref="E21:F21"/>
    <x:mergeCell ref="J20:K20"/>
    <x:mergeCell ref="N25:O25"/>
    <x:mergeCell ref="F30:K30"/>
    <x:mergeCell ref="P30:T30"/>
    <x:mergeCell ref="U32:AC32"/>
    <x:mergeCell ref="J32:K32"/>
    <x:mergeCell ref="U31:AC31"/>
    <x:mergeCell ref="U30:AC30"/>
    <x:mergeCell ref="J31:K31"/>
    <x:mergeCell ref="M30:N30"/>
    <x:mergeCell ref="A31:E31"/>
    <x:mergeCell ref="J35:K35"/>
    <x:mergeCell ref="A27:B27"/>
    <x:mergeCell ref="E20:F20"/>
    <x:mergeCell ref="E17:H17"/>
    <x:mergeCell ref="A22:B22"/>
    <x:mergeCell ref="A21:B21"/>
    <x:mergeCell ref="X27:AC27"/>
    <x:mergeCell ref="P27:S27"/>
    <x:mergeCell ref="U27:W27"/>
    <x:mergeCell ref="C22:K22"/>
    <x:mergeCell ref="A24:J24"/>
    <x:mergeCell ref="H27:K27"/>
    <x:mergeCell ref="L25:M25"/>
    <x:mergeCell ref="E25:I25"/>
    <x:mergeCell ref="A25:B25"/>
    <x:mergeCell ref="S25:T25"/>
    <x:mergeCell ref="M27:O27"/>
    <x:mergeCell ref="D27:G27"/>
  </x:mergeCells>
  <x:phoneticPr fontId="2" type="noConversion"/>
  <x:conditionalFormatting sqref="A2:F2">
    <x:cfRule type="expression" dxfId="2" priority="3" stopIfTrue="1">
      <x:formula>$A$2="Unsure"</x:formula>
    </x:cfRule>
    <x:cfRule type="expression" dxfId="1" priority="4" stopIfTrue="1">
      <x:formula>$A$2="Positive"</x:formula>
    </x:cfRule>
  </x:conditionalFormatting>
  <x:conditionalFormatting sqref="AC26">
    <x:cfRule type="expression" dxfId="0" priority="1" stopIfTrue="1">
      <x:formula>$AC$26="maybe"</x:formula>
    </x:cfRule>
  </x:conditionalFormatting>
  <x:dataValidations xWindow="948" yWindow="464" count="41">
    <x:dataValidation type="list" allowBlank="1" showInputMessage="1" showErrorMessage="1" sqref="AC26 AA22" xr:uid="{A0458FD5-AF15-4C1A-924E-E891FB70E358}">
      <x:formula1>YesNo</x:formula1>
    </x:dataValidation>
    <x:dataValidation allowBlank="1" showInputMessage="1" sqref="V26" xr:uid="{7D04A903-65F2-467B-BB04-70E4722323E0}"/>
    <x:dataValidation type="list" allowBlank="1" showInputMessage="1" showErrorMessage="1" sqref="W38 D40" xr:uid="{4CCC2BC1-A642-41A0-BB7F-2521C8555DFB}">
      <x:formula1>Miss</x:formula1>
    </x:dataValidation>
    <x:dataValidation type="list" allowBlank="1" showInputMessage="1" showErrorMessage="1" sqref="H27:K27" xr:uid="{D0271B45-9416-4506-AEF0-4D694B203866}">
      <x:formula1>Clouds</x:formula1>
    </x:dataValidation>
    <x:dataValidation type="list" allowBlank="1" showInputMessage="1" showErrorMessage="1" sqref="P27:R27" xr:uid="{0C590783-E543-45F3-A42E-8B3A2D567D2F}">
      <x:formula1>Stability</x:formula1>
    </x:dataValidation>
    <x:dataValidation type="whole" allowBlank="1" showInputMessage="1" showErrorMessage="1" error="0 to 24" sqref="F31:F37 Y5" xr:uid="{924CFD95-4E16-48E1-81F4-C841B202E9C9}">
      <x:formula1>0</x:formula1>
      <x:formula2>24</x:formula2>
    </x:dataValidation>
    <x:dataValidation type="whole" allowBlank="1" showInputMessage="1" showErrorMessage="1" error="0 to 59" sqref="H31:H37 AA5" xr:uid="{5538991E-CC7E-49AC-B135-BF4287609C46}">
      <x:formula1>0</x:formula1>
      <x:formula2>59</x:formula2>
    </x:dataValidation>
    <x:dataValidation type="decimal" allowBlank="1" showInputMessage="1" showErrorMessage="1" error="0 to 59.999" sqref="J31:K37" xr:uid="{DB75B522-34A3-4087-8449-F12D73554AD1}">
      <x:formula1>0</x:formula1>
      <x:formula2>59.9999</x:formula2>
    </x:dataValidation>
    <x:dataValidation type="decimal" allowBlank="1" showInputMessage="1" showErrorMessage="1" error="Number please" sqref="M33:O33 M35:O35" xr:uid="{FB8CB493-C1C0-4746-B3CC-ECA06A66A3D7}">
      <x:formula1>0</x:formula1>
      <x:formula2>99</x:formula2>
    </x:dataValidation>
    <x:dataValidation type="textLength" allowBlank="1" showInputMessage="1" showErrorMessage="1" error="Maximum 511 characters on each line" sqref="D42:D44" xr:uid="{4810F93C-F1C5-4A29-96A7-6A4468B06A95}">
      <x:formula1>0</x:formula1>
      <x:formula2>511</x:formula2>
    </x:dataValidation>
    <x:dataValidation type="list" allowBlank="1" showInputMessage="1" showErrorMessage="1" sqref="P33 P35" xr:uid="{39A40E59-4870-4DD2-AA08-AB679EBEF15D}">
      <x:formula1>PE_2</x:formula1>
    </x:dataValidation>
    <x:dataValidation type="textLength" operator="greaterThanOrEqual" allowBlank="1" showInputMessage="1" showErrorMessage="1" promptTitle="Other Conditions" prompt="Any other note on conditons that may be relevant" sqref="X27:AC27" xr:uid="{8BB8C78C-1919-43F8-A853-0943B4C079FA}">
      <x:formula1>1</x:formula1>
    </x:dataValidation>
    <x:dataValidation type="list" allowBlank="1" showInputMessage="1" showErrorMessage="1" sqref="E23:I23" xr:uid="{32646FE7-4E67-4DA1-B38E-FF5C531AD5D5}">
      <x:formula1>Timer2</x:formula1>
    </x:dataValidation>
    <x:dataValidation type="list" allowBlank="1" showInputMessage="1" showErrorMessage="1" sqref="T20:AC20" xr:uid="{0670A075-0A69-431F-A344-F01DCEF0C64F}">
      <x:formula1>Telescope</x:formula1>
    </x:dataValidation>
    <x:dataValidation type="list" allowBlank="1" showInputMessage="1" showErrorMessage="1" sqref="R18" xr:uid="{63C9693F-1F11-4043-88E6-2408A72FE5F2}">
      <x:formula1>Longitude</x:formula1>
    </x:dataValidation>
    <x:dataValidation type="list" allowBlank="1" showInputMessage="1" showErrorMessage="1" sqref="O22:V22" xr:uid="{F0B8DB77-AB81-450A-B16F-9B00CD7415CC}">
      <x:formula1>Method</x:formula1>
    </x:dataValidation>
    <x:dataValidation type="list" allowBlank="1" showInputMessage="1" showErrorMessage="1" sqref="W18" xr:uid="{730DC603-DEA3-4CB1-BD57-947FBA84F4D2}">
      <x:formula1>Altitude</x:formula1>
    </x:dataValidation>
    <x:dataValidation type="list" allowBlank="1" showInputMessage="1" showErrorMessage="1" sqref="AA18:AC18" xr:uid="{0A24C049-1649-4A51-9464-CB72F606E548}">
      <x:formula1>Datum</x:formula1>
    </x:dataValidation>
    <x:dataValidation type="list" allowBlank="1" showInputMessage="1" showErrorMessage="1" sqref="K5:L5" xr:uid="{9F2A1157-4FBB-4F16-A8AA-9462EB0C0813}">
      <x:formula1>Months</x:formula1>
    </x:dataValidation>
    <x:dataValidation type="list" allowBlank="1" showInputMessage="1" showErrorMessage="1" sqref="E17:H17 N17:P17" xr:uid="{55DF22A0-DB12-4F39-B57D-4FA36D1528AA}">
      <x:formula1>DegMinSec</x:formula1>
    </x:dataValidation>
    <x:dataValidation type="list" allowBlank="1" showInputMessage="1" showErrorMessage="1" sqref="J18" xr:uid="{8DEA31B7-64DF-4E7A-984A-C4BA575BC077}">
      <x:formula1>Latitude</x:formula1>
    </x:dataValidation>
    <x:dataValidation type="list" allowBlank="1" showInputMessage="1" showErrorMessage="1" sqref="C22:K22" xr:uid="{D31D9DB2-058A-40AB-897D-0773C92EC902}">
      <x:formula1>Timing</x:formula1>
    </x:dataValidation>
    <x:dataValidation type="list" allowBlank="1" showInputMessage="1" showErrorMessage="1" sqref="H20" xr:uid="{B397A1EC-65D6-4426-882F-3ACD60A762DE}">
      <x:formula1>InchCm</x:formula1>
    </x:dataValidation>
    <x:dataValidation type="list" allowBlank="1" showInputMessage="1" showErrorMessage="1" sqref="D5:E5" xr:uid="{4C8F3718-D3AF-43C0-8F3E-61B506CCD23F}">
      <x:formula1>Year</x:formula1>
    </x:dataValidation>
    <x:dataValidation type="list" allowBlank="1" showInputMessage="1" showErrorMessage="1" sqref="S7:T7" xr:uid="{3DD00AFA-11EA-44A3-907B-3DAA57337462}">
      <x:formula1>Star</x:formula1>
    </x:dataValidation>
    <x:dataValidation type="list" allowBlank="1" showInputMessage="1" showErrorMessage="1" sqref="A2:D2" xr:uid="{2AA4927C-4A02-46AC-AE84-3E6561883D92}">
      <x:formula1>Results</x:formula1>
    </x:dataValidation>
    <x:dataValidation type="whole" allowBlank="1" showInputMessage="1" showErrorMessage="1" error="1 to 31" sqref="P5:R5" xr:uid="{98F479A8-7804-4328-A279-BE8DA98E1433}">
      <x:formula1>1</x:formula1>
      <x:formula2>31</x:formula2>
    </x:dataValidation>
    <x:dataValidation type="decimal" allowBlank="1" showInputMessage="1" showErrorMessage="1" error="0 to 59.99" sqref="AC5" xr:uid="{20A9507D-3D74-4420-B39D-271AA96B4A8D}">
      <x:formula1>0</x:formula1>
      <x:formula2>59.999</x:formula2>
    </x:dataValidation>
    <x:dataValidation type="decimal" allowBlank="1" showInputMessage="1" showErrorMessage="1" error="-500 to 30000" sqref="V18" xr:uid="{DA5D5D08-D3D8-4851-9ACA-06A2D5DD233D}">
      <x:formula1>-500</x:formula1>
      <x:formula2>30000</x:formula2>
    </x:dataValidation>
    <x:dataValidation type="decimal" allowBlank="1" showInputMessage="1" showErrorMessage="1" error="Number please  1 to 9999" sqref="E20:F20" xr:uid="{45CADFE1-F116-438D-8EEE-438F2FC4B827}">
      <x:formula1>1</x:formula1>
      <x:formula2>9999</x:formula2>
    </x:dataValidation>
    <x:dataValidation type="decimal" allowBlank="1" showInputMessage="1" showErrorMessage="1" error="Number please 0 to 999_x000a__x000a_" sqref="P20" xr:uid="{1CF12124-8B89-4D66-8233-A292CC9337ED}">
      <x:formula1>0</x:formula1>
      <x:formula2>999</x:formula2>
    </x:dataValidation>
    <x:dataValidation type="decimal" allowBlank="1" showInputMessage="1" showErrorMessage="1" error="0 to 999" sqref="L20" xr:uid="{12E857EC-7726-443C-9041-5E2553125271}">
      <x:formula1>0</x:formula1>
      <x:formula2>999</x:formula2>
    </x:dataValidation>
    <x:dataValidation type="list" allowBlank="1" showInputMessage="1" showErrorMessage="1" sqref="E25:I25" xr:uid="{5EE7AC6E-A4FE-4FA7-99BD-70361405BA28}">
      <x:formula1>Detector</x:formula1>
    </x:dataValidation>
    <x:dataValidation type="list" allowBlank="1" showInputMessage="1" showErrorMessage="1" sqref="L25:M25" xr:uid="{2E596345-0603-4D4E-A77E-B948A5DEB508}">
      <x:formula1>Format2</x:formula1>
    </x:dataValidation>
    <x:dataValidation type="list" allowBlank="1" showInputMessage="1" showErrorMessage="1" sqref="S25:T25" xr:uid="{6B821D03-B8F1-4020-BF3D-DC15C6ECB4CE}">
      <x:formula1>Units</x:formula1>
    </x:dataValidation>
    <x:dataValidation allowBlank="1" showInputMessage="1" showErrorMessage="1" promptTitle="Location" prompt="Please input nearest City/Town and State only._x000a_eg Waikanae Beach, NZ_x000a_or The Black Stump, NSW,AU" sqref="E15:R15" xr:uid="{0C26E71B-96DB-4E73-904A-CB70BCC7FA73}"/>
    <x:dataValidation type="list" allowBlank="1" showInputMessage="1" showErrorMessage="1" sqref="O23:T23" xr:uid="{E9B1B020-15A4-41FA-B557-9106AD8FE0E8}">
      <x:formula1>OTA</x:formula1>
    </x:dataValidation>
    <x:dataValidation allowBlank="1" showInputMessage="1" showErrorMessage="1" promptTitle="Other information" prompt="eg Filter type or special settings" sqref="V25:AC25" xr:uid="{68632DB3-91BE-43E4-9C8B-B64083980758}"/>
    <x:dataValidation type="list" allowBlank="1" showInputMessage="1" showErrorMessage="1" sqref="P8" xr:uid="{2411F8D5-F738-4919-B2F1-3AF535B469FA}">
      <x:formula1>"Yes,No"</x:formula1>
    </x:dataValidation>
    <x:dataValidation type="decimal" operator="greaterThan" allowBlank="1" showInputMessage="1" showErrorMessage="1" sqref="W40:X40" xr:uid="{D96A456B-56F6-4AF8-8A83-9195294300C8}">
      <x:formula1>0</x:formula1>
    </x:dataValidation>
    <x:dataValidation allowBlank="1" promptTitle="Exposure Time" prompt="Enter exposure time based on Integration selected." sqref="P26" xr:uid="{7C134945-DF7C-4478-9BDB-DCAEC59652A4}"/>
  </x:dataValidations>
  <x:printOptions horizontalCentered="1" verticalCentered="1"/>
  <x:pageMargins left="0.25" right="0.25" top="0.25" bottom="0.25" header="0.5" footer="0.5"/>
  <x:pageSetup scale="75" orientation="landscape" r:id="rId1"/>
  <x:headerFooter alignWithMargins="0">
    <x:oddFooter>&amp;L&amp;D</x:oddFooter>
  </x:headerFooter>
  <x:legacyDrawing r:id="rId2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85F076D-659C-4E39-8DC7-7BAD187C9554}" mc:Ignorable="x14ac xr xr2 xr3">
  <x:sheetPr codeName="Sheet4"/>
  <x:dimension ref="A1:N58"/>
  <x:sheetViews>
    <x:sheetView showGridLines="0" workbookViewId="0">
      <x:selection activeCell="A20" sqref="A20"/>
    </x:sheetView>
  </x:sheetViews>
  <x:sheetFormatPr defaultRowHeight="13.2" x14ac:dyDescent="0.25"/>
  <x:sheetData>
    <x:row r="1" spans="1:14" ht="24" customHeight="1" x14ac:dyDescent="0.25">
      <x:c r="A1" s="193" t="s">
        <x:v>340</x:v>
      </x:c>
      <x:c r="B1" s="230"/>
      <x:c r="C1" s="230"/>
      <x:c r="D1" s="230"/>
      <x:c r="E1" s="230"/>
      <x:c r="F1" s="230"/>
      <x:c r="G1" s="230"/>
      <x:c r="H1" s="230"/>
      <x:c r="I1" s="230"/>
      <x:c r="J1" s="230"/>
      <x:c r="K1" s="230"/>
      <x:c r="L1" s="230"/>
      <x:c r="M1" s="230"/>
      <x:c r="N1" s="230"/>
    </x:row>
    <x:row r="4" spans="1:14" ht="15.9" customHeight="1" x14ac:dyDescent="0.25">
      <x:c r="A4" s="230" t="s">
        <x:v>282</x:v>
      </x:c>
      <x:c r="B4" s="230"/>
      <x:c r="C4" s="230"/>
      <x:c r="D4" s="230"/>
      <x:c r="F4" s="230" t="s">
        <x:v>283</x:v>
      </x:c>
      <x:c r="G4" s="230"/>
      <x:c r="H4" s="230"/>
      <x:c r="I4" s="230"/>
      <x:c r="K4" s="230" t="s">
        <x:v>284</x:v>
      </x:c>
      <x:c r="L4" s="230"/>
      <x:c r="M4" s="230"/>
      <x:c r="N4" s="230"/>
    </x:row>
    <x:row r="5" spans="1:14" ht="15.9" customHeight="1" x14ac:dyDescent="0.25">
      <x:c r="A5" s="230" t="s">
        <x:v>285</x:v>
      </x:c>
      <x:c r="B5" s="161"/>
      <x:c r="C5" s="161"/>
      <x:c r="D5" s="161"/>
    </x:row>
    <x:row r="6" spans="1:14" x14ac:dyDescent="0.25">
      <x:c r="A6" s="234" t="s">
        <x:v>286</x:v>
      </x:c>
      <x:c r="B6" s="234"/>
      <x:c r="C6" s="234"/>
      <x:c r="D6" s="234"/>
      <x:c r="F6" s="231" t="s">
        <x:v>287</x:v>
      </x:c>
      <x:c r="G6" s="231"/>
      <x:c r="H6" s="231"/>
      <x:c r="I6" s="231"/>
      <x:c r="K6" s="231" t="s">
        <x:v>23</x:v>
      </x:c>
      <x:c r="L6" s="231"/>
      <x:c r="M6" s="231"/>
      <x:c r="N6" s="231"/>
    </x:row>
    <x:row r="7" spans="1:14" x14ac:dyDescent="0.25">
      <x:c r="A7" s="234" t="s">
        <x:v>288</x:v>
      </x:c>
      <x:c r="B7" s="234"/>
      <x:c r="C7" s="234"/>
      <x:c r="D7" s="234"/>
      <x:c r="F7" s="231" t="s">
        <x:v>166</x:v>
      </x:c>
      <x:c r="G7" s="231"/>
      <x:c r="H7" s="231"/>
      <x:c r="I7" s="231"/>
      <x:c r="K7" s="231" t="s">
        <x:v>289</x:v>
      </x:c>
      <x:c r="L7" s="231"/>
      <x:c r="M7" s="231"/>
      <x:c r="N7" s="231"/>
    </x:row>
    <x:row r="8" spans="1:14" x14ac:dyDescent="0.25">
      <x:c r="A8" s="234" t="s">
        <x:v>290</x:v>
      </x:c>
      <x:c r="B8" s="234"/>
      <x:c r="C8" s="234"/>
      <x:c r="D8" s="234"/>
      <x:c r="F8" s="231" t="s">
        <x:v>291</x:v>
      </x:c>
      <x:c r="G8" s="231"/>
      <x:c r="H8" s="231"/>
      <x:c r="I8" s="231"/>
      <x:c r="K8" s="231" t="s">
        <x:v>292</x:v>
      </x:c>
      <x:c r="L8" s="231"/>
      <x:c r="M8" s="231"/>
      <x:c r="N8" s="231"/>
    </x:row>
    <x:row r="9" spans="1:14" x14ac:dyDescent="0.25">
      <x:c r="A9" s="234" t="s">
        <x:v>252</x:v>
      </x:c>
      <x:c r="B9" s="234"/>
      <x:c r="C9" s="234"/>
      <x:c r="D9" s="234"/>
      <x:c r="F9" s="231" t="s">
        <x:v>293</x:v>
      </x:c>
      <x:c r="G9" s="231"/>
      <x:c r="H9" s="231"/>
      <x:c r="I9" s="231"/>
      <x:c r="K9" s="231" t="s">
        <x:v>294</x:v>
      </x:c>
      <x:c r="L9" s="231"/>
      <x:c r="M9" s="231"/>
      <x:c r="N9" s="231"/>
    </x:row>
    <x:row r="10" spans="1:14" x14ac:dyDescent="0.25">
      <x:c r="A10" s="234" t="s">
        <x:v>293</x:v>
      </x:c>
      <x:c r="B10" s="234"/>
      <x:c r="C10" s="234"/>
      <x:c r="D10" s="234"/>
      <x:c r="K10" s="231" t="s">
        <x:v>295</x:v>
      </x:c>
      <x:c r="L10" s="231"/>
      <x:c r="M10" s="231"/>
      <x:c r="N10" s="231"/>
    </x:row>
    <x:row r="11" spans="1:14" x14ac:dyDescent="0.25">
      <x:c r="K11" s="231" t="s">
        <x:v>264</x:v>
      </x:c>
      <x:c r="L11" s="231"/>
      <x:c r="M11" s="231"/>
      <x:c r="N11" s="231"/>
    </x:row>
    <x:row r="12" spans="1:14" x14ac:dyDescent="0.25">
      <x:c r="K12" s="231" t="s">
        <x:v>296</x:v>
      </x:c>
      <x:c r="L12" s="231"/>
      <x:c r="M12" s="231"/>
      <x:c r="N12" s="231"/>
    </x:row>
    <x:row r="13" spans="1:14" x14ac:dyDescent="0.25">
      <x:c r="K13" s="231" t="s">
        <x:v>297</x:v>
      </x:c>
      <x:c r="L13" s="231"/>
      <x:c r="M13" s="231"/>
      <x:c r="N13" s="231"/>
    </x:row>
    <x:row r="14" spans="1:14" x14ac:dyDescent="0.25">
      <x:c r="K14" s="231" t="s">
        <x:v>298</x:v>
      </x:c>
      <x:c r="L14" s="231"/>
      <x:c r="M14" s="231"/>
      <x:c r="N14" s="231"/>
    </x:row>
    <x:row r="15" spans="1:14" x14ac:dyDescent="0.25">
      <x:c r="K15" s="231" t="s">
        <x:v>299</x:v>
      </x:c>
      <x:c r="L15" s="231"/>
      <x:c r="M15" s="231"/>
      <x:c r="N15" s="231"/>
    </x:row>
    <x:row r="16" spans="1:14" x14ac:dyDescent="0.25">
      <x:c r="K16" s="231" t="s">
        <x:v>293</x:v>
      </x:c>
      <x:c r="L16" s="231"/>
      <x:c r="M16" s="231"/>
      <x:c r="N16" s="231"/>
    </x:row>
    <x:row r="17" spans="1:14" x14ac:dyDescent="0.25">
      <x:c r="K17" s="105"/>
      <x:c r="L17" s="105"/>
      <x:c r="M17" s="105"/>
      <x:c r="N17" s="105"/>
    </x:row>
    <x:row r="18" spans="1:14" x14ac:dyDescent="0.25">
      <x:c r="K18" s="231"/>
      <x:c r="L18" s="231"/>
      <x:c r="M18" s="231"/>
      <x:c r="N18" s="231"/>
    </x:row>
    <x:row r="19" spans="1:14" ht="15.9" customHeight="1" x14ac:dyDescent="0.25">
      <x:c r="A19" s="230" t="s">
        <x:v>300</x:v>
      </x:c>
      <x:c r="B19" s="230"/>
      <x:c r="C19" s="230"/>
      <x:c r="D19" s="230"/>
      <x:c r="F19" s="230" t="s">
        <x:v>301</x:v>
      </x:c>
      <x:c r="G19" s="230"/>
      <x:c r="H19" s="230"/>
      <x:c r="I19" s="230"/>
      <x:c r="K19" s="230" t="s">
        <x:v>302</x:v>
      </x:c>
      <x:c r="L19" s="230"/>
      <x:c r="M19" s="230"/>
      <x:c r="N19" s="230"/>
    </x:row>
    <x:row r="20" spans="1:14" x14ac:dyDescent="0.25">
      <x:c r="F20" s="232" t="s">
        <x:v>303</x:v>
      </x:c>
      <x:c r="G20" s="232"/>
      <x:c r="H20" s="232"/>
      <x:c r="I20" s="232"/>
      <x:c r="K20" s="231" t="s">
        <x:v>164</x:v>
      </x:c>
      <x:c r="L20" s="231"/>
      <x:c r="M20" s="231"/>
      <x:c r="N20" s="231"/>
    </x:row>
    <x:row r="21" spans="1:14" x14ac:dyDescent="0.25">
      <x:c r="A21" s="231" t="s">
        <x:v>304</x:v>
      </x:c>
      <x:c r="B21" s="231"/>
      <x:c r="C21" s="231"/>
      <x:c r="D21" s="231"/>
      <x:c r="F21" s="232" t="s">
        <x:v>305</x:v>
      </x:c>
      <x:c r="G21" s="232"/>
      <x:c r="H21" s="232"/>
      <x:c r="I21" s="232"/>
      <x:c r="K21" s="231" t="s">
        <x:v>165</x:v>
      </x:c>
      <x:c r="L21" s="231"/>
      <x:c r="M21" s="231"/>
      <x:c r="N21" s="231"/>
    </x:row>
    <x:row r="22" spans="1:14" x14ac:dyDescent="0.25">
      <x:c r="A22" s="231" t="s">
        <x:v>306</x:v>
      </x:c>
      <x:c r="B22" s="231"/>
      <x:c r="C22" s="231"/>
      <x:c r="D22" s="231"/>
      <x:c r="F22" s="231"/>
      <x:c r="G22" s="231"/>
      <x:c r="H22" s="231"/>
      <x:c r="I22" s="231"/>
      <x:c r="K22" s="231" t="s">
        <x:v>307</x:v>
      </x:c>
      <x:c r="L22" s="231"/>
      <x:c r="M22" s="231"/>
      <x:c r="N22" s="231"/>
    </x:row>
    <x:row r="23" spans="1:14" x14ac:dyDescent="0.25">
      <x:c r="A23" s="231" t="s">
        <x:v>308</x:v>
      </x:c>
      <x:c r="B23" s="231"/>
      <x:c r="C23" s="231"/>
      <x:c r="D23" s="231"/>
      <x:c r="F23" s="233" t="s">
        <x:v>309</x:v>
      </x:c>
      <x:c r="G23" s="233"/>
      <x:c r="H23" s="233"/>
      <x:c r="I23" s="233"/>
      <x:c r="K23" s="231" t="s">
        <x:v>298</x:v>
      </x:c>
      <x:c r="L23" s="231"/>
      <x:c r="M23" s="231"/>
      <x:c r="N23" s="231"/>
    </x:row>
    <x:row r="24" spans="1:14" x14ac:dyDescent="0.25">
      <x:c r="A24" s="231" t="s">
        <x:v>310</x:v>
      </x:c>
      <x:c r="B24" s="231"/>
      <x:c r="C24" s="231"/>
      <x:c r="D24" s="231"/>
      <x:c r="F24" s="233"/>
      <x:c r="G24" s="233"/>
      <x:c r="H24" s="233"/>
      <x:c r="I24" s="233"/>
      <x:c r="K24" s="231" t="s">
        <x:v>311</x:v>
      </x:c>
      <x:c r="L24" s="231"/>
      <x:c r="M24" s="231"/>
      <x:c r="N24" s="231"/>
    </x:row>
    <x:row r="25" spans="1:14" x14ac:dyDescent="0.25">
      <x:c r="A25" s="231" t="s">
        <x:v>312</x:v>
      </x:c>
      <x:c r="B25" s="231"/>
      <x:c r="C25" s="231"/>
      <x:c r="D25" s="231"/>
      <x:c r="F25" s="106" t="s">
        <x:v>313</x:v>
      </x:c>
      <x:c r="G25" s="106"/>
      <x:c r="H25" s="106"/>
      <x:c r="I25" s="106"/>
      <x:c r="K25" s="231" t="s">
        <x:v>314</x:v>
      </x:c>
      <x:c r="L25" s="231"/>
      <x:c r="M25" s="231"/>
      <x:c r="N25" s="231"/>
    </x:row>
    <x:row r="26" spans="1:14" x14ac:dyDescent="0.25">
      <x:c r="A26" s="231" t="s">
        <x:v>315</x:v>
      </x:c>
      <x:c r="B26" s="231"/>
      <x:c r="C26" s="231"/>
      <x:c r="D26" s="231"/>
      <x:c r="F26" s="106" t="s">
        <x:v>316</x:v>
      </x:c>
      <x:c r="G26" s="106"/>
      <x:c r="H26" s="106"/>
      <x:c r="I26" s="106"/>
    </x:row>
    <x:row r="27" spans="1:14" x14ac:dyDescent="0.25">
      <x:c r="A27" s="231" t="s">
        <x:v>317</x:v>
      </x:c>
      <x:c r="B27" s="231"/>
      <x:c r="C27" s="231"/>
      <x:c r="D27" s="231"/>
      <x:c r="F27" s="106"/>
      <x:c r="G27" s="106"/>
      <x:c r="H27" s="106"/>
      <x:c r="I27" s="106"/>
    </x:row>
    <x:row r="28" spans="1:14" x14ac:dyDescent="0.25">
      <x:c r="A28" s="231" t="s">
        <x:v>318</x:v>
      </x:c>
      <x:c r="B28" s="231"/>
      <x:c r="C28" s="231"/>
      <x:c r="D28" s="231"/>
      <x:c r="F28" s="106" t="s">
        <x:v>319</x:v>
      </x:c>
      <x:c r="G28" s="106"/>
      <x:c r="H28" s="106"/>
      <x:c r="I28" s="106"/>
    </x:row>
    <x:row r="29" spans="1:14" x14ac:dyDescent="0.25">
      <x:c r="A29" s="231" t="s">
        <x:v>320</x:v>
      </x:c>
      <x:c r="B29" s="231"/>
      <x:c r="C29" s="231"/>
      <x:c r="D29" s="231"/>
      <x:c r="F29" s="106" t="s">
        <x:v>321</x:v>
      </x:c>
      <x:c r="G29" s="106"/>
      <x:c r="H29" s="106"/>
      <x:c r="I29" s="106"/>
    </x:row>
    <x:row r="30" spans="1:14" x14ac:dyDescent="0.25">
      <x:c r="A30" s="231" t="s">
        <x:v>322</x:v>
      </x:c>
      <x:c r="B30" s="231"/>
      <x:c r="C30" s="231"/>
      <x:c r="D30" s="231"/>
      <x:c r="F30" s="106"/>
      <x:c r="G30" s="106"/>
      <x:c r="H30" s="106"/>
      <x:c r="I30" s="106"/>
    </x:row>
    <x:row r="31" spans="1:14" x14ac:dyDescent="0.25">
      <x:c r="A31" s="231" t="s">
        <x:v>323</x:v>
      </x:c>
      <x:c r="B31" s="231"/>
      <x:c r="C31" s="231"/>
      <x:c r="D31" s="231"/>
      <x:c r="F31" s="106" t="s">
        <x:v>324</x:v>
      </x:c>
      <x:c r="G31" s="106"/>
      <x:c r="H31" s="106"/>
      <x:c r="I31" s="106"/>
    </x:row>
    <x:row r="32" spans="1:14" x14ac:dyDescent="0.25">
      <x:c r="A32" s="231" t="s">
        <x:v>325</x:v>
      </x:c>
      <x:c r="B32" s="231"/>
      <x:c r="C32" s="231"/>
      <x:c r="D32" s="231"/>
      <x:c r="F32" s="106" t="s">
        <x:v>326</x:v>
      </x:c>
      <x:c r="G32" s="106"/>
      <x:c r="H32" s="106"/>
      <x:c r="I32" s="106"/>
    </x:row>
    <x:row r="33" spans="1:9" x14ac:dyDescent="0.25">
      <x:c r="A33" s="231" t="s">
        <x:v>325</x:v>
      </x:c>
      <x:c r="B33" s="231"/>
      <x:c r="C33" s="231"/>
      <x:c r="D33" s="231"/>
      <x:c r="F33" s="106"/>
      <x:c r="G33" s="106"/>
      <x:c r="H33" s="106"/>
      <x:c r="I33" s="106"/>
    </x:row>
    <x:row r="34" spans="1:9" x14ac:dyDescent="0.25">
      <x:c r="A34" s="231" t="s">
        <x:v>327</x:v>
      </x:c>
      <x:c r="B34" s="231"/>
      <x:c r="C34" s="231"/>
      <x:c r="D34" s="231"/>
      <x:c r="F34" s="106" t="s">
        <x:v>309</x:v>
      </x:c>
      <x:c r="G34" s="106"/>
      <x:c r="H34" s="106"/>
      <x:c r="I34" s="106"/>
    </x:row>
    <x:row r="35" spans="1:9" x14ac:dyDescent="0.25">
      <x:c r="A35" s="231" t="s">
        <x:v>328</x:v>
      </x:c>
      <x:c r="B35" s="231"/>
      <x:c r="C35" s="231"/>
      <x:c r="D35" s="231"/>
      <x:c r="F35" s="106" t="s">
        <x:v>329</x:v>
      </x:c>
      <x:c r="G35" s="106"/>
      <x:c r="H35" s="106"/>
      <x:c r="I35" s="106"/>
    </x:row>
    <x:row r="36" spans="1:9" x14ac:dyDescent="0.25">
      <x:c r="A36" s="231" t="s">
        <x:v>330</x:v>
      </x:c>
      <x:c r="B36" s="231"/>
      <x:c r="C36" s="231"/>
      <x:c r="D36" s="231"/>
      <x:c r="F36" s="106"/>
      <x:c r="G36" s="106"/>
      <x:c r="H36" s="106"/>
      <x:c r="I36" s="106"/>
    </x:row>
    <x:row r="37" spans="1:9" x14ac:dyDescent="0.25">
      <x:c r="A37" s="231" t="s">
        <x:v>331</x:v>
      </x:c>
      <x:c r="B37" s="231"/>
      <x:c r="C37" s="231"/>
      <x:c r="D37" s="231"/>
      <x:c r="F37" s="106" t="s">
        <x:v>332</x:v>
      </x:c>
      <x:c r="G37" s="106"/>
      <x:c r="H37" s="106"/>
      <x:c r="I37" s="106"/>
    </x:row>
    <x:row r="38" spans="1:9" x14ac:dyDescent="0.25">
      <x:c r="A38" s="231" t="s">
        <x:v>333</x:v>
      </x:c>
      <x:c r="B38" s="231"/>
      <x:c r="C38" s="231"/>
      <x:c r="D38" s="231"/>
      <x:c r="F38" s="106"/>
      <x:c r="G38" s="106"/>
      <x:c r="H38" s="106"/>
      <x:c r="I38" s="106"/>
    </x:row>
    <x:row r="39" spans="1:9" x14ac:dyDescent="0.25">
      <x:c r="A39" s="231" t="s">
        <x:v>334</x:v>
      </x:c>
      <x:c r="B39" s="231"/>
      <x:c r="C39" s="231"/>
      <x:c r="D39" s="231"/>
      <x:c r="F39" s="106" t="s">
        <x:v>335</x:v>
      </x:c>
      <x:c r="G39" s="106"/>
      <x:c r="H39" s="106"/>
      <x:c r="I39" s="106"/>
    </x:row>
    <x:row r="40" spans="1:9" x14ac:dyDescent="0.25">
      <x:c r="A40" s="231" t="s">
        <x:v>336</x:v>
      </x:c>
      <x:c r="B40" s="231"/>
      <x:c r="C40" s="231"/>
      <x:c r="D40" s="231"/>
      <x:c r="F40" s="233"/>
      <x:c r="G40" s="233"/>
      <x:c r="H40" s="233"/>
      <x:c r="I40" s="233"/>
    </x:row>
    <x:row r="41" spans="1:9" x14ac:dyDescent="0.25">
      <x:c r="A41" s="231" t="s">
        <x:v>337</x:v>
      </x:c>
      <x:c r="B41" s="231"/>
      <x:c r="C41" s="231"/>
      <x:c r="D41" s="231"/>
      <x:c r="F41" s="233" t="s">
        <x:v>338</x:v>
      </x:c>
      <x:c r="G41" s="233"/>
      <x:c r="H41" s="233"/>
      <x:c r="I41" s="233"/>
    </x:row>
    <x:row r="42" spans="1:9" x14ac:dyDescent="0.25">
      <x:c r="A42" s="231" t="s">
        <x:v>339</x:v>
      </x:c>
      <x:c r="B42" s="231"/>
      <x:c r="C42" s="231"/>
      <x:c r="D42" s="231"/>
      <x:c r="F42" s="231"/>
      <x:c r="G42" s="231"/>
      <x:c r="H42" s="231"/>
      <x:c r="I42" s="231"/>
    </x:row>
    <x:row r="43" spans="1:9" x14ac:dyDescent="0.25">
      <x:c r="A43" s="231" t="s">
        <x:v>411</x:v>
      </x:c>
      <x:c r="B43" s="231"/>
      <x:c r="C43" s="231"/>
      <x:c r="D43" s="231"/>
    </x:row>
    <x:row r="44" spans="1:9" x14ac:dyDescent="0.25">
      <x:c r="A44" s="231"/>
      <x:c r="B44" s="231"/>
      <x:c r="C44" s="231"/>
      <x:c r="D44" s="231"/>
    </x:row>
    <x:row r="45" spans="1:9" x14ac:dyDescent="0.25">
      <x:c r="A45" s="231"/>
      <x:c r="B45" s="231"/>
      <x:c r="C45" s="231"/>
      <x:c r="D45" s="231"/>
    </x:row>
    <x:row r="46" spans="1:9" x14ac:dyDescent="0.25">
      <x:c r="A46" s="231"/>
      <x:c r="B46" s="231"/>
      <x:c r="C46" s="231"/>
      <x:c r="D46" s="231"/>
    </x:row>
    <x:row r="47" spans="1:9" x14ac:dyDescent="0.25">
      <x:c r="A47" s="231"/>
      <x:c r="B47" s="231"/>
      <x:c r="C47" s="231"/>
      <x:c r="D47" s="231"/>
    </x:row>
    <x:row r="48" spans="1:9" x14ac:dyDescent="0.25">
      <x:c r="A48" s="231"/>
      <x:c r="B48" s="231"/>
      <x:c r="C48" s="231"/>
      <x:c r="D48" s="231"/>
    </x:row>
    <x:row r="49" spans="1:4" x14ac:dyDescent="0.25">
      <x:c r="A49" s="231"/>
      <x:c r="B49" s="231"/>
      <x:c r="C49" s="231"/>
      <x:c r="D49" s="231"/>
    </x:row>
    <x:row r="50" spans="1:4" x14ac:dyDescent="0.25">
      <x:c r="A50" s="231"/>
      <x:c r="B50" s="231"/>
      <x:c r="C50" s="231"/>
      <x:c r="D50" s="231"/>
    </x:row>
    <x:row r="51" spans="1:4" x14ac:dyDescent="0.25">
      <x:c r="A51" s="231"/>
      <x:c r="B51" s="231"/>
      <x:c r="C51" s="231"/>
      <x:c r="D51" s="231"/>
    </x:row>
    <x:row r="52" spans="1:4" x14ac:dyDescent="0.25">
      <x:c r="A52" s="231"/>
      <x:c r="B52" s="231"/>
      <x:c r="C52" s="231"/>
      <x:c r="D52" s="231"/>
    </x:row>
    <x:row r="53" spans="1:4" x14ac:dyDescent="0.25">
      <x:c r="A53" s="231"/>
      <x:c r="B53" s="231"/>
      <x:c r="C53" s="231"/>
      <x:c r="D53" s="231"/>
    </x:row>
    <x:row r="54" spans="1:4" x14ac:dyDescent="0.25">
      <x:c r="A54" s="231"/>
      <x:c r="B54" s="231"/>
      <x:c r="C54" s="231"/>
      <x:c r="D54" s="231"/>
    </x:row>
    <x:row r="55" spans="1:4" x14ac:dyDescent="0.25">
      <x:c r="A55" s="231"/>
      <x:c r="B55" s="231"/>
      <x:c r="C55" s="231"/>
      <x:c r="D55" s="231"/>
    </x:row>
    <x:row r="56" spans="1:4" x14ac:dyDescent="0.25">
      <x:c r="A56" s="231"/>
      <x:c r="B56" s="231"/>
      <x:c r="C56" s="231"/>
      <x:c r="D56" s="231"/>
    </x:row>
    <x:row r="57" spans="1:4" x14ac:dyDescent="0.25">
      <x:c r="A57" s="231"/>
      <x:c r="B57" s="231"/>
      <x:c r="C57" s="231"/>
      <x:c r="D57" s="231"/>
    </x:row>
    <x:row r="58" spans="1:4" x14ac:dyDescent="0.25">
      <x:c r="A58" s="231"/>
      <x:c r="B58" s="231"/>
      <x:c r="C58" s="231"/>
      <x:c r="D58" s="231"/>
    </x:row>
  </x:sheetData>
  <x:sheetProtection formatRows="0"/>
  <x:mergeCells count="81">
    <x:mergeCell ref="K4:N4"/>
    <x:mergeCell ref="K6:N6"/>
    <x:mergeCell ref="F4:I4"/>
    <x:mergeCell ref="A8:D8"/>
    <x:mergeCell ref="A9:D9"/>
    <x:mergeCell ref="A10:D10"/>
    <x:mergeCell ref="F9:I9"/>
    <x:mergeCell ref="F6:I6"/>
    <x:mergeCell ref="F7:I7"/>
    <x:mergeCell ref="F8:I8"/>
    <x:mergeCell ref="A4:D4"/>
    <x:mergeCell ref="A5:D5"/>
    <x:mergeCell ref="A6:D6"/>
    <x:mergeCell ref="A7:D7"/>
    <x:mergeCell ref="K13:N13"/>
    <x:mergeCell ref="K15:N15"/>
    <x:mergeCell ref="K18:N18"/>
    <x:mergeCell ref="K7:N7"/>
    <x:mergeCell ref="K8:N8"/>
    <x:mergeCell ref="K14:N14"/>
    <x:mergeCell ref="A29:D29"/>
    <x:mergeCell ref="A30:D30"/>
    <x:mergeCell ref="A31:D31"/>
    <x:mergeCell ref="A34:D34"/>
    <x:mergeCell ref="K16:N16"/>
    <x:mergeCell ref="A19:D19"/>
    <x:mergeCell ref="K20:N20"/>
    <x:mergeCell ref="K21:N21"/>
    <x:mergeCell ref="F19:I19"/>
    <x:mergeCell ref="F20:I20"/>
    <x:mergeCell ref="A21:D21"/>
    <x:mergeCell ref="A27:D27"/>
    <x:mergeCell ref="A28:D28"/>
    <x:mergeCell ref="A24:D24"/>
    <x:mergeCell ref="A25:D25"/>
    <x:mergeCell ref="A26:D26"/>
    <x:mergeCell ref="A58:D58"/>
    <x:mergeCell ref="A32:D32"/>
    <x:mergeCell ref="A33:D33"/>
    <x:mergeCell ref="A55:D55"/>
    <x:mergeCell ref="A56:D56"/>
    <x:mergeCell ref="A41:D41"/>
    <x:mergeCell ref="A42:D42"/>
    <x:mergeCell ref="A37:D37"/>
    <x:mergeCell ref="A43:D43"/>
    <x:mergeCell ref="A36:D36"/>
    <x:mergeCell ref="A38:D38"/>
    <x:mergeCell ref="A39:D39"/>
    <x:mergeCell ref="A35:D35"/>
    <x:mergeCell ref="A57:D57"/>
    <x:mergeCell ref="A48:D48"/>
    <x:mergeCell ref="A49:D49"/>
    <x:mergeCell ref="F41:I41"/>
    <x:mergeCell ref="F42:I42"/>
    <x:mergeCell ref="A54:D54"/>
    <x:mergeCell ref="A50:D50"/>
    <x:mergeCell ref="A51:D51"/>
    <x:mergeCell ref="A52:D52"/>
    <x:mergeCell ref="A53:D53"/>
    <x:mergeCell ref="F40:I40"/>
    <x:mergeCell ref="A47:D47"/>
    <x:mergeCell ref="A44:D44"/>
    <x:mergeCell ref="A45:D45"/>
    <x:mergeCell ref="A46:D46"/>
    <x:mergeCell ref="A40:D40"/>
    <x:mergeCell ref="A1:N1"/>
    <x:mergeCell ref="K24:N24"/>
    <x:mergeCell ref="K25:N25"/>
    <x:mergeCell ref="F21:I21"/>
    <x:mergeCell ref="F22:I22"/>
    <x:mergeCell ref="F23:I23"/>
    <x:mergeCell ref="F24:I24"/>
    <x:mergeCell ref="K22:N22"/>
    <x:mergeCell ref="K23:N23"/>
    <x:mergeCell ref="A22:D22"/>
    <x:mergeCell ref="A23:D23"/>
    <x:mergeCell ref="K19:N19"/>
    <x:mergeCell ref="K9:N9"/>
    <x:mergeCell ref="K10:N10"/>
    <x:mergeCell ref="K11:N11"/>
    <x:mergeCell ref="K12:N12"/>
  </x:mergeCells>
  <x:phoneticPr fontId="47" type="noConversion"/>
  <x:pageMargins left="0.75" right="0.75" top="1" bottom="1" header="0.5" footer="0.5"/>
  <x:pageSetup orientation="portrait" r:id="rId1"/>
  <x:headerFooter alignWithMargins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27B5C58-B84C-4236-96D5-65118906A11F}" mc:Ignorable="x14ac xr xr2 xr3">
  <x:sheetPr codeName="Sheet5"/>
  <x:dimension ref="A2:P105"/>
  <x:sheetViews>
    <x:sheetView workbookViewId="0">
      <x:selection activeCell="Q7" sqref="Q7"/>
    </x:sheetView>
  </x:sheetViews>
  <x:sheetFormatPr defaultRowHeight="13.2" x14ac:dyDescent="0.25"/>
  <x:cols>
    <x:col min="2" max="2" width="13.33203125" customWidth="1"/>
    <x:col min="3" max="3" width="13" customWidth="1"/>
    <x:col min="4" max="4" width="12.109375" customWidth="1"/>
    <x:col min="5" max="5" width="13.6640625" customWidth="1"/>
    <x:col min="6" max="6" width="13.44140625" customWidth="1"/>
    <x:col min="7" max="7" width="13.109375" customWidth="1"/>
    <x:col min="8" max="8" width="14" customWidth="1"/>
  </x:cols>
  <x:sheetData>
    <x:row r="2" spans="1:16" ht="21.75" customHeight="1" x14ac:dyDescent="0.25">
      <x:c r="A2" s="193" t="s">
        <x:v>406</x:v>
      </x:c>
      <x:c r="B2" s="162"/>
      <x:c r="C2" s="162"/>
      <x:c r="D2" s="162"/>
      <x:c r="E2" s="162"/>
      <x:c r="F2" s="162"/>
      <x:c r="G2" s="162"/>
      <x:c r="H2" s="2"/>
      <x:c r="I2" s="109"/>
      <x:c r="J2" s="109"/>
      <x:c r="K2" s="2"/>
      <x:c r="L2" s="12"/>
      <x:c r="M2" s="12"/>
      <x:c r="N2" s="12"/>
      <x:c r="O2" s="12"/>
      <x:c r="P2" s="12"/>
    </x:row>
    <x:row r="5" spans="1:16" ht="26.1" customHeight="1" x14ac:dyDescent="0.25">
      <x:c r="B5" s="239" t="s">
        <x:v>341</x:v>
      </x:c>
      <x:c r="C5" s="240"/>
      <x:c r="D5" s="240"/>
      <x:c r="E5" s="240"/>
      <x:c r="F5" s="241"/>
      <x:c r="G5" s="110"/>
      <x:c r="H5" s="110"/>
    </x:row>
    <x:row r="6" spans="1:16" ht="18" customHeight="1" x14ac:dyDescent="0.25">
      <x:c r="B6" s="243" t="s">
        <x:v>301</x:v>
      </x:c>
      <x:c r="C6" s="161"/>
      <x:c r="D6" s="161" t="s">
        <x:v>344</x:v>
      </x:c>
      <x:c r="E6" s="161" t="s">
        <x:v>345</x:v>
      </x:c>
      <x:c r="F6" s="244"/>
      <x:c r="G6" s="161"/>
      <x:c r="H6" s="161"/>
      <x:c r="K6" s="193" t="s">
        <x:v>405</x:v>
      </x:c>
      <x:c r="L6" s="193"/>
      <x:c r="M6" s="193"/>
      <x:c r="N6" s="193"/>
      <x:c r="O6" s="193"/>
    </x:row>
    <x:row r="7" spans="1:16" ht="18" customHeight="1" x14ac:dyDescent="0.25">
      <x:c r="B7" s="112" t="s">
        <x:v>342</x:v>
      </x:c>
      <x:c r="C7" s="4" t="s">
        <x:v>343</x:v>
      </x:c>
      <x:c r="D7" s="161"/>
      <x:c r="E7" s="4" t="s">
        <x:v>346</x:v>
      </x:c>
      <x:c r="F7" s="113" t="s">
        <x:v>347</x:v>
      </x:c>
      <x:c r="G7" s="4"/>
      <x:c r="H7" s="4"/>
    </x:row>
    <x:row r="8" spans="1:16" ht="14.1" customHeight="1" x14ac:dyDescent="0.25">
      <x:c r="B8" s="112" t="s">
        <x:v>309</x:v>
      </x:c>
      <x:c r="C8" s="4" t="s">
        <x:v>348</x:v>
      </x:c>
      <x:c r="D8" s="4">
        <x:v>2</x:v>
      </x:c>
      <x:c r="E8" s="107">
        <x:v>-0.04</x:v>
      </x:c>
      <x:c r="F8" s="114">
        <x:v>-3.3399999999999999E-2</x:v>
      </x:c>
      <x:c r="G8" s="108"/>
      <x:c r="H8" s="108"/>
      <x:c r="K8" s="245" t="s">
        <x:v>396</x:v>
      </x:c>
      <x:c r="L8" s="245"/>
      <x:c r="M8" s="245"/>
      <x:c r="N8" s="238" t="s">
        <x:v>397</x:v>
      </x:c>
      <x:c r="O8" s="238"/>
      <x:c r="P8" s="4"/>
    </x:row>
    <x:row r="9" spans="1:16" ht="14.1" customHeight="1" x14ac:dyDescent="0.25">
      <x:c r="B9" s="112" t="s">
        <x:v>349</x:v>
      </x:c>
      <x:c r="C9" s="4" t="s">
        <x:v>319</x:v>
      </x:c>
      <x:c r="D9" s="4">
        <x:v>3</x:v>
      </x:c>
      <x:c r="E9" s="107">
        <x:v>-0.06</x:v>
      </x:c>
      <x:c r="F9" s="114">
        <x:v>-5.0099999999999999E-2</x:v>
      </x:c>
      <x:c r="G9" s="108"/>
      <x:c r="H9" s="108"/>
      <x:c r="K9" s="245" t="s">
        <x:v>398</x:v>
      </x:c>
      <x:c r="L9" s="245"/>
      <x:c r="M9" s="245"/>
      <x:c r="N9" s="238">
        <x:v>-1.6670000000000001E-2</x:v>
      </x:c>
      <x:c r="O9" s="238"/>
      <x:c r="P9" s="4"/>
    </x:row>
    <x:row r="10" spans="1:16" ht="14.1" customHeight="1" x14ac:dyDescent="0.25">
      <x:c r="B10" s="112" t="s">
        <x:v>324</x:v>
      </x:c>
      <x:c r="C10" s="4" t="s">
        <x:v>350</x:v>
      </x:c>
      <x:c r="D10" s="4">
        <x:v>5</x:v>
      </x:c>
      <x:c r="E10" s="107">
        <x:v>-0.1</x:v>
      </x:c>
      <x:c r="F10" s="114">
        <x:v>-8.3400000000000002E-2</x:v>
      </x:c>
      <x:c r="G10" s="108"/>
      <x:c r="H10" s="108"/>
      <x:c r="K10" s="245" t="s">
        <x:v>399</x:v>
      </x:c>
      <x:c r="L10" s="245"/>
      <x:c r="M10" s="245"/>
      <x:c r="N10" s="238" t="s">
        <x:v>397</x:v>
      </x:c>
      <x:c r="O10" s="238"/>
      <x:c r="P10" s="4"/>
    </x:row>
    <x:row r="11" spans="1:16" ht="14.1" customHeight="1" x14ac:dyDescent="0.25">
      <x:c r="B11" s="112" t="s">
        <x:v>351</x:v>
      </x:c>
      <x:c r="C11" s="4" t="s">
        <x:v>352</x:v>
      </x:c>
      <x:c r="D11" s="4">
        <x:v>9</x:v>
      </x:c>
      <x:c r="E11" s="107">
        <x:v>-0.18</x:v>
      </x:c>
      <x:c r="F11" s="114">
        <x:v>-0.1502</x:v>
      </x:c>
      <x:c r="G11" s="108"/>
      <x:c r="H11" s="108"/>
      <x:c r="K11" s="245" t="s">
        <x:v>400</x:v>
      </x:c>
      <x:c r="L11" s="245"/>
      <x:c r="M11" s="245"/>
      <x:c r="N11" s="238">
        <x:v>-1.6670000000000001E-2</x:v>
      </x:c>
      <x:c r="O11" s="238"/>
      <x:c r="P11" s="4"/>
    </x:row>
    <x:row r="12" spans="1:16" ht="14.1" customHeight="1" x14ac:dyDescent="0.25">
      <x:c r="B12" s="112" t="s">
        <x:v>353</x:v>
      </x:c>
      <x:c r="C12" s="4" t="s">
        <x:v>354</x:v>
      </x:c>
      <x:c r="D12" s="4">
        <x:v>17</x:v>
      </x:c>
      <x:c r="E12" s="107">
        <x:v>-0.34</x:v>
      </x:c>
      <x:c r="F12" s="114">
        <x:v>-0.28360000000000002</x:v>
      </x:c>
      <x:c r="G12" s="108"/>
      <x:c r="H12" s="108"/>
    </x:row>
    <x:row r="13" spans="1:16" ht="14.1" customHeight="1" x14ac:dyDescent="0.25">
      <x:c r="B13" s="112" t="s">
        <x:v>355</x:v>
      </x:c>
      <x:c r="C13" s="4" t="s">
        <x:v>176</x:v>
      </x:c>
      <x:c r="D13" s="4">
        <x:v>33</x:v>
      </x:c>
      <x:c r="E13" s="107">
        <x:v>-0.66</x:v>
      </x:c>
      <x:c r="F13" s="114">
        <x:v>-0.55059999999999998</x:v>
      </x:c>
      <x:c r="G13" s="108"/>
      <x:c r="H13" s="108"/>
    </x:row>
    <x:row r="14" spans="1:16" ht="14.1" customHeight="1" x14ac:dyDescent="0.25">
      <x:c r="B14" s="112" t="s">
        <x:v>356</x:v>
      </x:c>
      <x:c r="C14" s="4" t="s">
        <x:v>357</x:v>
      </x:c>
      <x:c r="D14" s="4">
        <x:v>65</x:v>
      </x:c>
      <x:c r="E14" s="107">
        <x:v>-1.3</x:v>
      </x:c>
      <x:c r="F14" s="114">
        <x:v>-1.0844</x:v>
      </x:c>
      <x:c r="G14" s="108"/>
      <x:c r="H14" s="108"/>
    </x:row>
    <x:row r="15" spans="1:16" ht="14.1" customHeight="1" x14ac:dyDescent="0.25">
      <x:c r="B15" s="112" t="s">
        <x:v>326</x:v>
      </x:c>
      <x:c r="C15" s="4" t="s">
        <x:v>358</x:v>
      </x:c>
      <x:c r="D15" s="4">
        <x:v>129</x:v>
      </x:c>
      <x:c r="E15" s="107">
        <x:v>-2.58</x:v>
      </x:c>
      <x:c r="F15" s="114">
        <x:v>-2.1522000000000001</x:v>
      </x:c>
      <x:c r="G15" s="108"/>
      <x:c r="H15" s="108"/>
    </x:row>
    <x:row r="16" spans="1:16" ht="14.1" customHeight="1" x14ac:dyDescent="0.25">
      <x:c r="B16" s="112" t="s">
        <x:v>359</x:v>
      </x:c>
      <x:c r="C16" s="4" t="s">
        <x:v>360</x:v>
      </x:c>
      <x:c r="D16" s="4">
        <x:v>257</x:v>
      </x:c>
      <x:c r="E16" s="107">
        <x:v>-5.14</x:v>
      </x:c>
      <x:c r="F16" s="114">
        <x:v>-4.2876000000000003</x:v>
      </x:c>
      <x:c r="G16" s="108"/>
      <x:c r="H16" s="108"/>
    </x:row>
    <x:row r="17" spans="2:16" ht="14.1" customHeight="1" x14ac:dyDescent="0.25">
      <x:c r="B17" s="115" t="s">
        <x:v>361</x:v>
      </x:c>
      <x:c r="C17" s="116" t="s">
        <x:v>362</x:v>
      </x:c>
      <x:c r="D17" s="116">
        <x:v>513</x:v>
      </x:c>
      <x:c r="E17" s="117">
        <x:v>-10.26</x:v>
      </x:c>
      <x:c r="F17" s="118">
        <x:v>-8.5586000000000002</x:v>
      </x:c>
      <x:c r="G17" s="108"/>
      <x:c r="H17" s="108"/>
    </x:row>
    <x:row r="20" spans="2:16" ht="26.1" customHeight="1" x14ac:dyDescent="0.25">
      <x:c r="B20" s="239" t="s">
        <x:v>363</x:v>
      </x:c>
      <x:c r="C20" s="240"/>
      <x:c r="D20" s="240"/>
      <x:c r="E20" s="240"/>
      <x:c r="F20" s="241"/>
      <x:c r="G20" s="110"/>
      <x:c r="H20" s="110"/>
    </x:row>
    <x:row r="21" spans="2:16" ht="18" customHeight="1" x14ac:dyDescent="0.25">
      <x:c r="B21" s="243" t="s">
        <x:v>301</x:v>
      </x:c>
      <x:c r="C21" s="161"/>
      <x:c r="D21" s="161" t="s">
        <x:v>344</x:v>
      </x:c>
      <x:c r="E21" s="161" t="s">
        <x:v>345</x:v>
      </x:c>
      <x:c r="F21" s="244"/>
      <x:c r="G21" s="161"/>
      <x:c r="H21" s="161"/>
      <x:c r="J21" s="193" t="s">
        <x:v>407</x:v>
      </x:c>
      <x:c r="K21" s="161"/>
      <x:c r="L21" s="161"/>
      <x:c r="M21" s="161"/>
      <x:c r="N21" s="161"/>
      <x:c r="O21" s="161"/>
      <x:c r="P21" s="161"/>
    </x:row>
    <x:row r="22" spans="2:16" ht="18" customHeight="1" x14ac:dyDescent="0.25">
      <x:c r="B22" s="112" t="s">
        <x:v>364</x:v>
      </x:c>
      <x:c r="C22" s="4" t="s">
        <x:v>365</x:v>
      </x:c>
      <x:c r="D22" s="161"/>
      <x:c r="E22" s="4" t="s">
        <x:v>346</x:v>
      </x:c>
      <x:c r="F22" s="113" t="s">
        <x:v>347</x:v>
      </x:c>
      <x:c r="G22" s="4"/>
      <x:c r="H22" s="4"/>
      <x:c r="J22" s="161" t="s">
        <x:v>347</x:v>
      </x:c>
      <x:c r="K22" s="162"/>
      <x:c r="L22" s="162"/>
      <x:c r="N22" s="161" t="s">
        <x:v>346</x:v>
      </x:c>
      <x:c r="O22" s="161"/>
      <x:c r="P22" s="162"/>
    </x:row>
    <x:row r="23" spans="2:16" ht="14.1" customHeight="1" x14ac:dyDescent="0.25">
      <x:c r="B23" s="112" t="s">
        <x:v>366</x:v>
      </x:c>
      <x:c r="C23" s="4" t="s">
        <x:v>366</x:v>
      </x:c>
      <x:c r="D23" s="4">
        <x:v>1</x:v>
      </x:c>
      <x:c r="E23" s="107">
        <x:v>-0.02</x:v>
      </x:c>
      <x:c r="F23" s="114">
        <x:v>-1.67E-2</x:v>
      </x:c>
      <x:c r="J23" s="161" t="s">
        <x:v>408</x:v>
      </x:c>
      <x:c r="K23" s="162"/>
      <x:c r="L23" s="162"/>
      <x:c r="N23" s="161" t="s">
        <x:v>410</x:v>
      </x:c>
      <x:c r="O23" s="161"/>
      <x:c r="P23" s="162"/>
    </x:row>
    <x:row r="24" spans="2:16" ht="14.1" customHeight="1" x14ac:dyDescent="0.25">
      <x:c r="B24" s="112" t="s">
        <x:v>367</x:v>
      </x:c>
      <x:c r="C24" s="4" t="s">
        <x:v>367</x:v>
      </x:c>
      <x:c r="D24" s="4">
        <x:v>2</x:v>
      </x:c>
      <x:c r="E24" s="107">
        <x:f>-0.02*D24</x:f>
        <x:v>-0.04</x:v>
      </x:c>
      <x:c r="F24" s="114">
        <x:f>-0.0167*D24</x:f>
        <x:v>-3.3399999999999999E-2</x:v>
      </x:c>
      <x:c r="J24" s="161" t="s">
        <x:v>409</x:v>
      </x:c>
      <x:c r="K24" s="162"/>
      <x:c r="L24" s="162"/>
      <x:c r="N24" s="161" t="s">
        <x:v>409</x:v>
      </x:c>
      <x:c r="O24" s="161"/>
      <x:c r="P24" s="162"/>
    </x:row>
    <x:row r="25" spans="2:16" ht="14.1" customHeight="1" x14ac:dyDescent="0.25">
      <x:c r="B25" s="112" t="s">
        <x:v>368</x:v>
      </x:c>
      <x:c r="C25" s="4" t="s">
        <x:v>368</x:v>
      </x:c>
      <x:c r="D25" s="4">
        <x:v>4</x:v>
      </x:c>
      <x:c r="E25" s="107">
        <x:f t="shared" ref="E25:E30" si="0">-0.02*D25</x:f>
        <x:v>-0.08</x:v>
      </x:c>
      <x:c r="F25" s="114">
        <x:v>-6.6699999999999995E-2</x:v>
      </x:c>
      <x:c r="J25" s="161" t="s">
        <x:v>414</x:v>
      </x:c>
      <x:c r="K25" s="161"/>
      <x:c r="L25" s="161"/>
      <x:c r="N25" s="161"/>
      <x:c r="O25" s="161"/>
    </x:row>
    <x:row r="26" spans="2:16" ht="14.1" customHeight="1" x14ac:dyDescent="0.25">
      <x:c r="B26" s="112" t="s">
        <x:v>369</x:v>
      </x:c>
      <x:c r="C26" s="4" t="s">
        <x:v>369</x:v>
      </x:c>
      <x:c r="D26" s="4">
        <x:v>8</x:v>
      </x:c>
      <x:c r="E26" s="107">
        <x:f t="shared" si="0"/>
        <x:v>-0.16</x:v>
      </x:c>
      <x:c r="F26" s="114">
        <x:v>-0.13350000000000001</x:v>
      </x:c>
      <x:c r="K26" s="161"/>
      <x:c r="L26" s="161"/>
      <x:c r="N26" s="161"/>
      <x:c r="O26" s="161"/>
    </x:row>
    <x:row r="27" spans="2:16" ht="14.1" customHeight="1" x14ac:dyDescent="0.25">
      <x:c r="B27" s="112" t="s">
        <x:v>370</x:v>
      </x:c>
      <x:c r="C27" s="4" t="s">
        <x:v>370</x:v>
      </x:c>
      <x:c r="D27" s="4">
        <x:v>16</x:v>
      </x:c>
      <x:c r="E27" s="107">
        <x:f t="shared" si="0"/>
        <x:v>-0.32</x:v>
      </x:c>
      <x:c r="F27" s="114">
        <x:v>-0.26690000000000003</x:v>
      </x:c>
    </x:row>
    <x:row r="28" spans="2:16" ht="14.1" customHeight="1" x14ac:dyDescent="0.25">
      <x:c r="B28" s="112" t="s">
        <x:v>371</x:v>
      </x:c>
      <x:c r="C28" s="4" t="s">
        <x:v>371</x:v>
      </x:c>
      <x:c r="D28" s="4">
        <x:v>32</x:v>
      </x:c>
      <x:c r="E28" s="107">
        <x:f t="shared" si="0"/>
        <x:v>-0.64</x:v>
      </x:c>
      <x:c r="F28" s="114">
        <x:v>-0.53390000000000004</x:v>
      </x:c>
    </x:row>
    <x:row r="29" spans="2:16" ht="14.1" customHeight="1" x14ac:dyDescent="0.25">
      <x:c r="B29" s="112" t="s">
        <x:v>372</x:v>
      </x:c>
      <x:c r="C29" s="4" t="s">
        <x:v>372</x:v>
      </x:c>
      <x:c r="D29" s="4">
        <x:v>64</x:v>
      </x:c>
      <x:c r="E29" s="107">
        <x:f t="shared" si="0"/>
        <x:v>-1.28</x:v>
      </x:c>
      <x:c r="F29" s="114">
        <x:v>-1.0677000000000001</x:v>
      </x:c>
    </x:row>
    <x:row r="30" spans="2:16" ht="14.1" customHeight="1" x14ac:dyDescent="0.25">
      <x:c r="B30" s="112" t="s">
        <x:v>373</x:v>
      </x:c>
      <x:c r="C30" s="4" t="s">
        <x:v>373</x:v>
      </x:c>
      <x:c r="D30" s="4">
        <x:v>128</x:v>
      </x:c>
      <x:c r="E30" s="107">
        <x:f t="shared" si="0"/>
        <x:v>-2.56</x:v>
      </x:c>
      <x:c r="F30" s="114">
        <x:v>-2.1355</x:v>
      </x:c>
    </x:row>
    <x:row r="31" spans="2:16" ht="14.1" customHeight="1" x14ac:dyDescent="0.25">
      <x:c r="B31" s="115" t="s">
        <x:v>374</x:v>
      </x:c>
      <x:c r="C31" s="116" t="s">
        <x:v>374</x:v>
      </x:c>
      <x:c r="D31" s="116">
        <x:v>256</x:v>
      </x:c>
      <x:c r="E31" s="117">
        <x:v>-5.08</x:v>
      </x:c>
      <x:c r="F31" s="118">
        <x:v>-4.2375999999999996</x:v>
      </x:c>
    </x:row>
    <x:row r="32" spans="2:16" x14ac:dyDescent="0.25">
      <x:c r="B32" s="4"/>
      <x:c r="C32" s="4"/>
    </x:row>
    <x:row r="33" spans="2:8" x14ac:dyDescent="0.25">
      <x:c r="B33" s="4"/>
      <x:c r="C33" s="4"/>
    </x:row>
    <x:row r="34" spans="2:8" ht="26.1" customHeight="1" x14ac:dyDescent="0.25">
      <x:c r="B34" s="239" t="s">
        <x:v>375</x:v>
      </x:c>
      <x:c r="C34" s="240"/>
      <x:c r="D34" s="240"/>
      <x:c r="E34" s="240"/>
      <x:c r="F34" s="241"/>
      <x:c r="G34" s="6"/>
      <x:c r="H34" s="6"/>
    </x:row>
    <x:row r="35" spans="2:8" ht="18" customHeight="1" x14ac:dyDescent="0.25">
      <x:c r="B35" s="243" t="s">
        <x:v>301</x:v>
      </x:c>
      <x:c r="C35" s="161"/>
      <x:c r="D35" s="161" t="s">
        <x:v>344</x:v>
      </x:c>
      <x:c r="E35" s="161" t="s">
        <x:v>345</x:v>
      </x:c>
      <x:c r="F35" s="244"/>
      <x:c r="G35" s="161"/>
      <x:c r="H35" s="161"/>
    </x:row>
    <x:row r="36" spans="2:8" ht="18" customHeight="1" x14ac:dyDescent="0.25">
      <x:c r="B36" s="112" t="s">
        <x:v>376</x:v>
      </x:c>
      <x:c r="C36" s="4"/>
      <x:c r="D36" s="161"/>
      <x:c r="E36" s="4" t="s">
        <x:v>346</x:v>
      </x:c>
      <x:c r="F36" s="113" t="s">
        <x:v>347</x:v>
      </x:c>
      <x:c r="G36" s="4"/>
      <x:c r="H36" s="4"/>
    </x:row>
    <x:row r="37" spans="2:8" ht="14.1" customHeight="1" x14ac:dyDescent="0.25">
      <x:c r="B37" s="112" t="s">
        <x:v>366</x:v>
      </x:c>
      <x:c r="C37" s="4"/>
      <x:c r="D37" s="4">
        <x:v>1</x:v>
      </x:c>
      <x:c r="E37" s="107"/>
      <x:c r="F37" s="114">
        <x:v>-1.67E-2</x:v>
      </x:c>
    </x:row>
    <x:row r="38" spans="2:8" ht="14.1" customHeight="1" x14ac:dyDescent="0.25">
      <x:c r="B38" s="112" t="s">
        <x:v>367</x:v>
      </x:c>
      <x:c r="C38" s="4"/>
      <x:c r="D38" s="4">
        <x:v>2</x:v>
      </x:c>
      <x:c r="E38" s="107"/>
      <x:c r="F38" s="114">
        <x:f>-0.0167*D38</x:f>
        <x:v>-3.3399999999999999E-2</x:v>
      </x:c>
    </x:row>
    <x:row r="39" spans="2:8" ht="14.1" customHeight="1" x14ac:dyDescent="0.25">
      <x:c r="B39" s="112" t="s">
        <x:v>368</x:v>
      </x:c>
      <x:c r="C39" s="4"/>
      <x:c r="D39" s="4">
        <x:v>4</x:v>
      </x:c>
      <x:c r="E39" s="107"/>
      <x:c r="F39" s="114">
        <x:v>-6.6699999999999995E-2</x:v>
      </x:c>
    </x:row>
    <x:row r="40" spans="2:8" ht="14.1" customHeight="1" x14ac:dyDescent="0.25">
      <x:c r="B40" s="112" t="s">
        <x:v>369</x:v>
      </x:c>
      <x:c r="C40" s="4"/>
      <x:c r="D40" s="4">
        <x:v>8</x:v>
      </x:c>
      <x:c r="E40" s="107"/>
      <x:c r="F40" s="114">
        <x:v>-0.13350000000000001</x:v>
      </x:c>
    </x:row>
    <x:row r="41" spans="2:8" ht="14.1" customHeight="1" x14ac:dyDescent="0.25">
      <x:c r="B41" s="112" t="s">
        <x:v>370</x:v>
      </x:c>
      <x:c r="C41" s="4"/>
      <x:c r="D41" s="4">
        <x:v>16</x:v>
      </x:c>
      <x:c r="E41" s="107"/>
      <x:c r="F41" s="114">
        <x:v>-0.26690000000000003</x:v>
      </x:c>
    </x:row>
    <x:row r="42" spans="2:8" ht="14.1" customHeight="1" x14ac:dyDescent="0.25">
      <x:c r="B42" s="112" t="s">
        <x:v>371</x:v>
      </x:c>
      <x:c r="C42" s="4"/>
      <x:c r="D42" s="4">
        <x:v>32</x:v>
      </x:c>
      <x:c r="E42" s="107"/>
      <x:c r="F42" s="114">
        <x:v>-0.53390000000000004</x:v>
      </x:c>
    </x:row>
    <x:row r="43" spans="2:8" ht="14.1" customHeight="1" x14ac:dyDescent="0.25">
      <x:c r="B43" s="112" t="s">
        <x:v>372</x:v>
      </x:c>
      <x:c r="C43" s="4"/>
      <x:c r="D43" s="4">
        <x:v>64</x:v>
      </x:c>
      <x:c r="E43" s="107"/>
      <x:c r="F43" s="114">
        <x:v>-1.0677000000000001</x:v>
      </x:c>
    </x:row>
    <x:row r="44" spans="2:8" ht="14.1" customHeight="1" x14ac:dyDescent="0.25">
      <x:c r="B44" s="112" t="s">
        <x:v>373</x:v>
      </x:c>
      <x:c r="C44" s="4"/>
      <x:c r="D44" s="4">
        <x:v>128</x:v>
      </x:c>
      <x:c r="E44" s="107"/>
      <x:c r="F44" s="114">
        <x:v>-2.1355</x:v>
      </x:c>
    </x:row>
    <x:row r="45" spans="2:8" ht="14.1" customHeight="1" x14ac:dyDescent="0.25">
      <x:c r="B45" s="115" t="s">
        <x:v>374</x:v>
      </x:c>
      <x:c r="C45" s="116"/>
      <x:c r="D45" s="116">
        <x:v>256</x:v>
      </x:c>
      <x:c r="E45" s="117"/>
      <x:c r="F45" s="118">
        <x:v>-4.2709000000000001</x:v>
      </x:c>
    </x:row>
    <x:row r="48" spans="2:8" ht="26.1" customHeight="1" x14ac:dyDescent="0.25">
      <x:c r="B48" s="240" t="s">
        <x:v>377</x:v>
      </x:c>
      <x:c r="C48" s="240"/>
      <x:c r="D48" s="240"/>
      <x:c r="E48" s="240"/>
      <x:c r="F48" s="241"/>
      <x:c r="G48" s="6"/>
      <x:c r="H48" s="6"/>
    </x:row>
    <x:row r="49" spans="2:8" ht="18" customHeight="1" x14ac:dyDescent="0.25">
      <x:c r="B49" s="161" t="s">
        <x:v>301</x:v>
      </x:c>
      <x:c r="C49" s="161"/>
      <x:c r="D49" s="161" t="s">
        <x:v>344</x:v>
      </x:c>
      <x:c r="E49" s="161" t="s">
        <x:v>345</x:v>
      </x:c>
      <x:c r="F49" s="244"/>
      <x:c r="G49" s="161"/>
      <x:c r="H49" s="161"/>
    </x:row>
    <x:row r="50" spans="2:8" ht="18" customHeight="1" x14ac:dyDescent="0.25">
      <x:c r="D50" s="161"/>
      <x:c r="E50" s="4" t="s">
        <x:v>346</x:v>
      </x:c>
      <x:c r="F50" s="113" t="s">
        <x:v>347</x:v>
      </x:c>
      <x:c r="G50" s="4"/>
      <x:c r="H50" s="4"/>
    </x:row>
    <x:row r="51" spans="2:8" ht="14.1" customHeight="1" x14ac:dyDescent="0.25">
      <x:c r="B51" s="4" t="s">
        <x:v>309</x:v>
      </x:c>
      <x:c r="D51" s="4">
        <x:v>0</x:v>
      </x:c>
      <x:c r="E51" s="4">
        <x:v>0</x:v>
      </x:c>
      <x:c r="F51" s="113">
        <x:v>0</x:v>
      </x:c>
    </x:row>
    <x:row r="52" spans="2:8" ht="14.1" customHeight="1" x14ac:dyDescent="0.25">
      <x:c r="B52" s="4" t="s">
        <x:v>367</x:v>
      </x:c>
      <x:c r="D52" s="4">
        <x:v>1</x:v>
      </x:c>
      <x:c r="E52" s="107">
        <x:v>-0.02</x:v>
      </x:c>
      <x:c r="F52" s="114">
        <x:v>-1.67E-2</x:v>
      </x:c>
    </x:row>
    <x:row r="53" spans="2:8" ht="14.1" customHeight="1" x14ac:dyDescent="0.25">
      <x:c r="B53" s="4" t="s">
        <x:v>368</x:v>
      </x:c>
      <x:c r="D53" s="4">
        <x:v>3</x:v>
      </x:c>
      <x:c r="E53" s="107">
        <x:v>-0.06</x:v>
      </x:c>
      <x:c r="F53" s="114">
        <x:v>-5.0099999999999999E-2</x:v>
      </x:c>
    </x:row>
    <x:row r="54" spans="2:8" ht="14.1" customHeight="1" x14ac:dyDescent="0.25">
      <x:c r="B54" s="119" t="s">
        <x:v>378</x:v>
      </x:c>
      <x:c r="C54" s="120"/>
      <x:c r="D54" s="119">
        <x:v>5</x:v>
      </x:c>
      <x:c r="E54" s="121">
        <x:v>-0.1</x:v>
      </x:c>
      <x:c r="F54" s="122">
        <x:v>-8.3400000000000002E-2</x:v>
      </x:c>
    </x:row>
    <x:row r="55" spans="2:8" ht="14.1" customHeight="1" x14ac:dyDescent="0.25">
      <x:c r="B55" s="4" t="s">
        <x:v>369</x:v>
      </x:c>
      <x:c r="D55" s="4">
        <x:v>7</x:v>
      </x:c>
      <x:c r="E55" s="107">
        <x:v>-0.14000000000000001</x:v>
      </x:c>
      <x:c r="F55" s="114">
        <x:v>-0.1168</x:v>
      </x:c>
    </x:row>
    <x:row r="56" spans="2:8" ht="14.1" customHeight="1" x14ac:dyDescent="0.25">
      <x:c r="B56" s="119" t="s">
        <x:v>379</x:v>
      </x:c>
      <x:c r="C56" s="120"/>
      <x:c r="D56" s="119">
        <x:v>9</x:v>
      </x:c>
      <x:c r="E56" s="121">
        <x:v>-0.18</x:v>
      </x:c>
      <x:c r="F56" s="122">
        <x:v>-0.1502</x:v>
      </x:c>
    </x:row>
    <x:row r="57" spans="2:8" ht="14.1" customHeight="1" x14ac:dyDescent="0.25">
      <x:c r="B57" s="119" t="s">
        <x:v>370</x:v>
      </x:c>
      <x:c r="C57" s="120"/>
      <x:c r="D57" s="119">
        <x:v>15</x:v>
      </x:c>
      <x:c r="E57" s="121">
        <x:v>-0.3</x:v>
      </x:c>
      <x:c r="F57" s="122">
        <x:v>-0.25030000000000002</x:v>
      </x:c>
    </x:row>
    <x:row r="58" spans="2:8" ht="14.1" customHeight="1" x14ac:dyDescent="0.25">
      <x:c r="B58" s="119" t="s">
        <x:v>380</x:v>
      </x:c>
      <x:c r="C58" s="120"/>
      <x:c r="D58" s="119">
        <x:v>23</x:v>
      </x:c>
      <x:c r="E58" s="121">
        <x:v>-0.46</x:v>
      </x:c>
      <x:c r="F58" s="122">
        <x:v>-0.38369999999999999</x:v>
      </x:c>
    </x:row>
    <x:row r="59" spans="2:8" ht="14.1" customHeight="1" x14ac:dyDescent="0.25">
      <x:c r="B59" s="4" t="s">
        <x:v>371</x:v>
      </x:c>
      <x:c r="D59" s="4">
        <x:v>31</x:v>
      </x:c>
      <x:c r="E59" s="107">
        <x:v>-0.62</x:v>
      </x:c>
      <x:c r="F59" s="114">
        <x:v>-0.51719999999999999</x:v>
      </x:c>
    </x:row>
    <x:row r="60" spans="2:8" ht="14.1" customHeight="1" x14ac:dyDescent="0.25">
      <x:c r="B60" s="119" t="s">
        <x:v>381</x:v>
      </x:c>
      <x:c r="C60" s="120"/>
      <x:c r="D60" s="119">
        <x:v>47</x:v>
      </x:c>
      <x:c r="E60" s="121">
        <x:v>-0.94</x:v>
      </x:c>
      <x:c r="F60" s="122">
        <x:v>-0.78410000000000002</x:v>
      </x:c>
    </x:row>
    <x:row r="61" spans="2:8" ht="14.1" customHeight="1" x14ac:dyDescent="0.25">
      <x:c r="B61" s="4" t="s">
        <x:v>372</x:v>
      </x:c>
      <x:c r="D61" s="13">
        <x:v>63</x:v>
      </x:c>
      <x:c r="E61" s="107">
        <x:v>-1.26</x:v>
      </x:c>
      <x:c r="F61" s="114">
        <x:v>-1.0510999999999999</x:v>
      </x:c>
    </x:row>
    <x:row r="62" spans="2:8" ht="14.1" customHeight="1" x14ac:dyDescent="0.25">
      <x:c r="B62" s="119" t="s">
        <x:v>382</x:v>
      </x:c>
      <x:c r="C62" s="120"/>
      <x:c r="D62" s="119">
        <x:v>93</x:v>
      </x:c>
      <x:c r="E62" s="121">
        <x:v>-1.86</x:v>
      </x:c>
      <x:c r="F62" s="122">
        <x:v>-1.5516000000000001</x:v>
      </x:c>
    </x:row>
    <x:row r="63" spans="2:8" ht="14.1" customHeight="1" x14ac:dyDescent="0.25">
      <x:c r="B63" s="116" t="s">
        <x:v>373</x:v>
      </x:c>
      <x:c r="C63" s="123"/>
      <x:c r="D63" s="116">
        <x:v>127</x:v>
      </x:c>
      <x:c r="E63" s="117">
        <x:v>-2.54</x:v>
      </x:c>
      <x:c r="F63" s="118">
        <x:v>-2.1187999999999998</x:v>
      </x:c>
    </x:row>
    <x:row r="64" spans="2:8" ht="14.1" customHeight="1" x14ac:dyDescent="0.25">
      <x:c r="B64" s="242" t="s">
        <x:v>383</x:v>
      </x:c>
      <x:c r="C64" s="242"/>
      <x:c r="D64" s="242"/>
      <x:c r="E64" s="242"/>
      <x:c r="F64" s="242"/>
      <x:c r="G64" s="44"/>
      <x:c r="H64" s="44"/>
    </x:row>
    <x:row r="67" spans="2:8" ht="26.1" customHeight="1" x14ac:dyDescent="0.25">
      <x:c r="B67" s="239" t="s">
        <x:v>384</x:v>
      </x:c>
      <x:c r="C67" s="240"/>
      <x:c r="D67" s="240"/>
      <x:c r="E67" s="240"/>
      <x:c r="F67" s="241"/>
      <x:c r="G67" s="6"/>
      <x:c r="H67" s="6"/>
    </x:row>
    <x:row r="68" spans="2:8" ht="18" customHeight="1" x14ac:dyDescent="0.25">
      <x:c r="B68" s="243" t="s">
        <x:v>301</x:v>
      </x:c>
      <x:c r="C68" s="161"/>
      <x:c r="D68" s="161" t="s">
        <x:v>344</x:v>
      </x:c>
      <x:c r="E68" s="161" t="s">
        <x:v>345</x:v>
      </x:c>
      <x:c r="F68" s="244"/>
      <x:c r="G68" s="161"/>
      <x:c r="H68" s="161"/>
    </x:row>
    <x:row r="69" spans="2:8" ht="18" customHeight="1" x14ac:dyDescent="0.25">
      <x:c r="B69" s="112" t="s">
        <x:v>385</x:v>
      </x:c>
      <x:c r="D69" s="161"/>
      <x:c r="E69" s="4" t="s">
        <x:v>346</x:v>
      </x:c>
      <x:c r="F69" s="113" t="s">
        <x:v>347</x:v>
      </x:c>
      <x:c r="G69" s="4"/>
      <x:c r="H69" s="4"/>
    </x:row>
    <x:row r="70" spans="2:8" ht="14.1" customHeight="1" x14ac:dyDescent="0.25">
      <x:c r="B70" s="112" t="s">
        <x:v>309</x:v>
      </x:c>
      <x:c r="D70" s="4">
        <x:v>1</x:v>
      </x:c>
      <x:c r="E70" s="107">
        <x:v>-0.02</x:v>
      </x:c>
      <x:c r="F70" s="114">
        <x:v>-1.67E-2</x:v>
      </x:c>
      <x:c r="G70" s="107"/>
      <x:c r="H70" s="107"/>
    </x:row>
    <x:row r="71" spans="2:8" ht="14.1" customHeight="1" x14ac:dyDescent="0.25">
      <x:c r="B71" s="112" t="s">
        <x:v>386</x:v>
      </x:c>
      <x:c r="D71" s="4">
        <x:v>2</x:v>
      </x:c>
      <x:c r="E71" s="107">
        <x:v>-0.04</x:v>
      </x:c>
      <x:c r="F71" s="114">
        <x:v>-3.3399999999999999E-2</x:v>
      </x:c>
      <x:c r="G71" s="107"/>
      <x:c r="H71" s="107"/>
    </x:row>
    <x:row r="72" spans="2:8" ht="14.1" customHeight="1" x14ac:dyDescent="0.25">
      <x:c r="B72" s="112" t="s">
        <x:v>313</x:v>
      </x:c>
      <x:c r="D72" s="4">
        <x:v>4</x:v>
      </x:c>
      <x:c r="E72" s="107">
        <x:v>-0.08</x:v>
      </x:c>
      <x:c r="F72" s="114">
        <x:v>-6.6699999999999995E-2</x:v>
      </x:c>
      <x:c r="G72" s="107"/>
      <x:c r="H72" s="107"/>
    </x:row>
    <x:row r="73" spans="2:8" ht="14.1" customHeight="1" x14ac:dyDescent="0.25">
      <x:c r="B73" s="124" t="s">
        <x:v>387</x:v>
      </x:c>
      <x:c r="C73" s="125"/>
      <x:c r="D73" s="119">
        <x:v>6</x:v>
      </x:c>
      <x:c r="E73" s="121">
        <x:v>-0.12</x:v>
      </x:c>
      <x:c r="F73" s="122">
        <x:v>-0.10009999999999999</x:v>
      </x:c>
      <x:c r="G73" s="111"/>
      <x:c r="H73" s="111"/>
    </x:row>
    <x:row r="74" spans="2:8" ht="14.1" customHeight="1" x14ac:dyDescent="0.25">
      <x:c r="B74" s="112" t="s">
        <x:v>316</x:v>
      </x:c>
      <x:c r="D74" s="4">
        <x:v>8</x:v>
      </x:c>
      <x:c r="E74" s="107">
        <x:v>-0.16</x:v>
      </x:c>
      <x:c r="F74" s="114">
        <x:v>-0.13350000000000001</x:v>
      </x:c>
      <x:c r="G74" s="107"/>
      <x:c r="H74" s="107"/>
    </x:row>
    <x:row r="75" spans="2:8" ht="14.1" customHeight="1" x14ac:dyDescent="0.25">
      <x:c r="B75" s="124" t="s">
        <x:v>388</x:v>
      </x:c>
      <x:c r="C75" s="125"/>
      <x:c r="D75" s="119">
        <x:v>10</x:v>
      </x:c>
      <x:c r="E75" s="121">
        <x:v>-0.2</x:v>
      </x:c>
      <x:c r="F75" s="122">
        <x:v>-0.1668</x:v>
      </x:c>
      <x:c r="G75" s="111"/>
      <x:c r="H75" s="111"/>
    </x:row>
    <x:row r="76" spans="2:8" ht="14.1" customHeight="1" x14ac:dyDescent="0.25">
      <x:c r="B76" s="112" t="s">
        <x:v>389</x:v>
      </x:c>
      <x:c r="D76" s="4">
        <x:v>16</x:v>
      </x:c>
      <x:c r="E76" s="107">
        <x:v>-0.32</x:v>
      </x:c>
      <x:c r="F76" s="114">
        <x:v>-0.26690000000000003</x:v>
      </x:c>
      <x:c r="G76" s="107"/>
      <x:c r="H76" s="107"/>
    </x:row>
    <x:row r="77" spans="2:8" ht="14.1" customHeight="1" x14ac:dyDescent="0.25">
      <x:c r="B77" s="124" t="s">
        <x:v>390</x:v>
      </x:c>
      <x:c r="C77" s="125"/>
      <x:c r="D77" s="119">
        <x:v>24</x:v>
      </x:c>
      <x:c r="E77" s="121">
        <x:v>-0.48</x:v>
      </x:c>
      <x:c r="F77" s="122">
        <x:v>-0.40039999999999998</x:v>
      </x:c>
      <x:c r="G77" s="111"/>
      <x:c r="H77" s="111"/>
    </x:row>
    <x:row r="78" spans="2:8" ht="14.1" customHeight="1" x14ac:dyDescent="0.25">
      <x:c r="B78" s="112" t="s">
        <x:v>391</x:v>
      </x:c>
      <x:c r="D78" s="4">
        <x:v>32</x:v>
      </x:c>
      <x:c r="E78" s="107">
        <x:v>-0.64</x:v>
      </x:c>
      <x:c r="F78" s="114">
        <x:v>-0.53390000000000004</x:v>
      </x:c>
      <x:c r="G78" s="107"/>
      <x:c r="H78" s="107"/>
    </x:row>
    <x:row r="79" spans="2:8" ht="14.1" customHeight="1" x14ac:dyDescent="0.25">
      <x:c r="B79" s="124" t="s">
        <x:v>392</x:v>
      </x:c>
      <x:c r="C79" s="125"/>
      <x:c r="D79" s="119">
        <x:v>48</x:v>
      </x:c>
      <x:c r="E79" s="121">
        <x:v>-0.96</x:v>
      </x:c>
      <x:c r="F79" s="122">
        <x:v>-0.80079999999999996</x:v>
      </x:c>
      <x:c r="G79" s="111"/>
      <x:c r="H79" s="111"/>
    </x:row>
    <x:row r="80" spans="2:8" ht="14.1" customHeight="1" x14ac:dyDescent="0.25">
      <x:c r="B80" s="112" t="s">
        <x:v>393</x:v>
      </x:c>
      <x:c r="D80" s="4">
        <x:v>64</x:v>
      </x:c>
      <x:c r="E80" s="107">
        <x:v>-1.28</x:v>
      </x:c>
      <x:c r="F80" s="114">
        <x:v>-1.0677000000000001</x:v>
      </x:c>
      <x:c r="G80" s="107"/>
      <x:c r="H80" s="107"/>
    </x:row>
    <x:row r="81" spans="2:8" ht="14.1" customHeight="1" x14ac:dyDescent="0.25">
      <x:c r="B81" s="124" t="s">
        <x:v>394</x:v>
      </x:c>
      <x:c r="C81" s="125"/>
      <x:c r="D81" s="119">
        <x:v>94</x:v>
      </x:c>
      <x:c r="E81" s="121">
        <x:v>-1.88</x:v>
      </x:c>
      <x:c r="F81" s="122">
        <x:v>-1.5682</x:v>
      </x:c>
      <x:c r="G81" s="111"/>
      <x:c r="H81" s="111"/>
    </x:row>
    <x:row r="82" spans="2:8" ht="14.1" customHeight="1" x14ac:dyDescent="0.25">
      <x:c r="B82" s="115" t="s">
        <x:v>395</x:v>
      </x:c>
      <x:c r="C82" s="123"/>
      <x:c r="D82" s="116">
        <x:v>128</x:v>
      </x:c>
      <x:c r="E82" s="117">
        <x:v>-2.56</x:v>
      </x:c>
      <x:c r="F82" s="118">
        <x:v>-2.1355</x:v>
      </x:c>
      <x:c r="G82" s="107"/>
      <x:c r="H82" s="107"/>
    </x:row>
    <x:row r="83" spans="2:8" ht="14.1" customHeight="1" x14ac:dyDescent="0.25">
      <x:c r="B83" s="242" t="s">
        <x:v>383</x:v>
      </x:c>
      <x:c r="C83" s="242"/>
      <x:c r="D83" s="242"/>
      <x:c r="E83" s="242"/>
      <x:c r="F83" s="242"/>
      <x:c r="G83" s="44"/>
      <x:c r="H83" s="44"/>
    </x:row>
    <x:row r="86" spans="2:8" ht="26.1" customHeight="1" x14ac:dyDescent="0.25">
      <x:c r="B86" s="235" t="s">
        <x:v>401</x:v>
      </x:c>
      <x:c r="C86" s="236"/>
      <x:c r="D86" s="236"/>
      <x:c r="E86" s="236"/>
      <x:c r="F86" s="237"/>
      <x:c r="G86" s="4"/>
      <x:c r="H86" s="4"/>
    </x:row>
    <x:row r="87" spans="2:8" ht="18" customHeight="1" x14ac:dyDescent="0.25">
      <x:c r="B87" s="243" t="s">
        <x:v>301</x:v>
      </x:c>
      <x:c r="C87" s="161"/>
      <x:c r="D87" s="161" t="s">
        <x:v>344</x:v>
      </x:c>
      <x:c r="E87" s="161" t="s">
        <x:v>345</x:v>
      </x:c>
      <x:c r="F87" s="244"/>
      <x:c r="G87" s="161"/>
      <x:c r="H87" s="161"/>
    </x:row>
    <x:row r="88" spans="2:8" ht="18" customHeight="1" x14ac:dyDescent="0.25">
      <x:c r="B88" s="126"/>
      <x:c r="D88" s="161"/>
      <x:c r="E88" s="4" t="s">
        <x:v>346</x:v>
      </x:c>
      <x:c r="F88" s="113" t="s">
        <x:v>347</x:v>
      </x:c>
      <x:c r="G88" s="4"/>
      <x:c r="H88" s="4"/>
    </x:row>
    <x:row r="89" spans="2:8" ht="14.1" customHeight="1" x14ac:dyDescent="0.25">
      <x:c r="B89" s="112" t="s">
        <x:v>366</x:v>
      </x:c>
      <x:c r="C89" s="4"/>
      <x:c r="D89" s="4">
        <x:v>2</x:v>
      </x:c>
      <x:c r="F89" s="114">
        <x:v>-3.3399999999999999E-2</x:v>
      </x:c>
    </x:row>
    <x:row r="90" spans="2:8" ht="14.1" customHeight="1" x14ac:dyDescent="0.25">
      <x:c r="B90" s="112" t="s">
        <x:v>367</x:v>
      </x:c>
      <x:c r="C90" s="4"/>
      <x:c r="D90" s="4">
        <x:v>3</x:v>
      </x:c>
      <x:c r="F90" s="114">
        <x:v>-5.0099999999999999E-2</x:v>
      </x:c>
    </x:row>
    <x:row r="91" spans="2:8" ht="14.1" customHeight="1" x14ac:dyDescent="0.25">
      <x:c r="B91" s="112" t="s">
        <x:v>368</x:v>
      </x:c>
      <x:c r="C91" s="4"/>
      <x:c r="D91" s="4">
        <x:v>5</x:v>
      </x:c>
      <x:c r="F91" s="114">
        <x:v>-8.3400000000000002E-2</x:v>
      </x:c>
    </x:row>
    <x:row r="92" spans="2:8" ht="14.1" customHeight="1" x14ac:dyDescent="0.25">
      <x:c r="B92" s="112" t="s">
        <x:v>378</x:v>
      </x:c>
      <x:c r="C92" s="4"/>
      <x:c r="D92" s="4">
        <x:v>7</x:v>
      </x:c>
      <x:c r="F92" s="114">
        <x:v>-0.1168</x:v>
      </x:c>
    </x:row>
    <x:row r="93" spans="2:8" ht="14.1" customHeight="1" x14ac:dyDescent="0.25">
      <x:c r="B93" s="112" t="s">
        <x:v>369</x:v>
      </x:c>
      <x:c r="C93" s="4"/>
      <x:c r="D93" s="4">
        <x:v>9</x:v>
      </x:c>
      <x:c r="F93" s="114">
        <x:v>-0.1502</x:v>
      </x:c>
    </x:row>
    <x:row r="94" spans="2:8" ht="14.1" customHeight="1" x14ac:dyDescent="0.25">
      <x:c r="B94" s="112" t="s">
        <x:v>402</x:v>
      </x:c>
      <x:c r="C94" s="4"/>
      <x:c r="D94" s="4">
        <x:v>11</x:v>
      </x:c>
      <x:c r="F94" s="114">
        <x:v>-0.1835</x:v>
      </x:c>
    </x:row>
    <x:row r="95" spans="2:8" ht="14.1" customHeight="1" x14ac:dyDescent="0.25">
      <x:c r="B95" s="112" t="s">
        <x:v>379</x:v>
      </x:c>
      <x:c r="C95" s="4"/>
      <x:c r="D95" s="4">
        <x:v>13</x:v>
      </x:c>
      <x:c r="F95" s="114">
        <x:v>-0.21690000000000001</x:v>
      </x:c>
    </x:row>
    <x:row r="96" spans="2:8" ht="14.1" customHeight="1" x14ac:dyDescent="0.25">
      <x:c r="B96" s="112" t="s">
        <x:v>403</x:v>
      </x:c>
      <x:c r="C96" s="4"/>
      <x:c r="D96" s="4">
        <x:v>15</x:v>
      </x:c>
      <x:c r="F96" s="114">
        <x:v>-0.25030000000000002</x:v>
      </x:c>
    </x:row>
    <x:row r="97" spans="2:6" ht="14.1" customHeight="1" x14ac:dyDescent="0.25">
      <x:c r="B97" s="112" t="s">
        <x:v>370</x:v>
      </x:c>
      <x:c r="C97" s="4"/>
      <x:c r="D97" s="4">
        <x:v>17</x:v>
      </x:c>
      <x:c r="F97" s="114">
        <x:v>-0.28360000000000002</x:v>
      </x:c>
    </x:row>
    <x:row r="98" spans="2:6" ht="14.1" customHeight="1" x14ac:dyDescent="0.25">
      <x:c r="B98" s="112" t="s">
        <x:v>380</x:v>
      </x:c>
      <x:c r="C98" s="4"/>
      <x:c r="D98" s="4">
        <x:v>25</x:v>
      </x:c>
      <x:c r="F98" s="114">
        <x:v>-0.41710000000000003</x:v>
      </x:c>
    </x:row>
    <x:row r="99" spans="2:6" ht="14.1" customHeight="1" x14ac:dyDescent="0.25">
      <x:c r="B99" s="112" t="s">
        <x:v>371</x:v>
      </x:c>
      <x:c r="C99" s="4"/>
      <x:c r="D99" s="4">
        <x:v>33</x:v>
      </x:c>
      <x:c r="F99" s="114">
        <x:v>-0.55059999999999998</x:v>
      </x:c>
    </x:row>
    <x:row r="100" spans="2:6" ht="14.1" customHeight="1" x14ac:dyDescent="0.25">
      <x:c r="B100" s="112" t="s">
        <x:v>372</x:v>
      </x:c>
      <x:c r="C100" s="4"/>
      <x:c r="D100" s="4">
        <x:v>65</x:v>
      </x:c>
      <x:c r="F100" s="114">
        <x:v>-1.0844</x:v>
      </x:c>
    </x:row>
    <x:row r="101" spans="2:6" ht="14.1" customHeight="1" x14ac:dyDescent="0.25">
      <x:c r="B101" s="112" t="s">
        <x:v>373</x:v>
      </x:c>
      <x:c r="C101" s="4"/>
      <x:c r="D101" s="4">
        <x:v>129</x:v>
      </x:c>
      <x:c r="F101" s="114">
        <x:v>-2.1522000000000001</x:v>
      </x:c>
    </x:row>
    <x:row r="102" spans="2:6" ht="14.1" customHeight="1" x14ac:dyDescent="0.25">
      <x:c r="B102" s="112" t="s">
        <x:v>374</x:v>
      </x:c>
      <x:c r="C102" s="4"/>
      <x:c r="D102" s="4">
        <x:v>257</x:v>
      </x:c>
      <x:c r="F102" s="114">
        <x:v>-4.2876000000000003</x:v>
      </x:c>
    </x:row>
    <x:row r="103" spans="2:6" ht="14.1" customHeight="1" x14ac:dyDescent="0.25">
      <x:c r="B103" s="115" t="s">
        <x:v>404</x:v>
      </x:c>
      <x:c r="C103" s="116"/>
      <x:c r="D103" s="116">
        <x:v>513</x:v>
      </x:c>
      <x:c r="E103" s="123"/>
      <x:c r="F103" s="118">
        <x:v>-8.5586000000000002</x:v>
      </x:c>
    </x:row>
    <x:row r="104" spans="2:6" ht="14.1" customHeight="1" x14ac:dyDescent="0.25"/>
    <x:row r="105" spans="2:6" ht="14.1" customHeight="1" x14ac:dyDescent="0.25"/>
  </x:sheetData>
  <x:sheetProtection formatRows="0"/>
  <x:mergeCells count="53">
    <x:mergeCell ref="B87:C87"/>
    <x:mergeCell ref="D87:D88"/>
    <x:mergeCell ref="E87:F87"/>
    <x:mergeCell ref="G87:H87"/>
    <x:mergeCell ref="K8:M8"/>
    <x:mergeCell ref="K9:M9"/>
    <x:mergeCell ref="K10:M10"/>
    <x:mergeCell ref="K11:M11"/>
    <x:mergeCell ref="B48:F48"/>
    <x:mergeCell ref="B68:C68"/>
    <x:mergeCell ref="A2:G2"/>
    <x:mergeCell ref="B21:C21"/>
    <x:mergeCell ref="D21:D22"/>
    <x:mergeCell ref="E21:F21"/>
    <x:mergeCell ref="B5:F5"/>
    <x:mergeCell ref="D6:D7"/>
    <x:mergeCell ref="B20:F20"/>
    <x:mergeCell ref="K6:O6"/>
    <x:mergeCell ref="B83:F83"/>
    <x:mergeCell ref="B6:C6"/>
    <x:mergeCell ref="E6:F6"/>
    <x:mergeCell ref="G6:H6"/>
    <x:mergeCell ref="K26:L26"/>
    <x:mergeCell ref="G49:H49"/>
    <x:mergeCell ref="B35:C35"/>
    <x:mergeCell ref="D35:D36"/>
    <x:mergeCell ref="E35:F35"/>
    <x:mergeCell ref="D68:D69"/>
    <x:mergeCell ref="E68:F68"/>
    <x:mergeCell ref="B49:C49"/>
    <x:mergeCell ref="D49:D50"/>
    <x:mergeCell ref="E49:F49"/>
    <x:mergeCell ref="G68:H68"/>
    <x:mergeCell ref="N26:O26"/>
    <x:mergeCell ref="B86:F86"/>
    <x:mergeCell ref="N8:O8"/>
    <x:mergeCell ref="N9:O9"/>
    <x:mergeCell ref="N10:O10"/>
    <x:mergeCell ref="N11:O11"/>
    <x:mergeCell ref="J21:P21"/>
    <x:mergeCell ref="B34:F34"/>
    <x:mergeCell ref="G21:H21"/>
    <x:mergeCell ref="G35:H35"/>
    <x:mergeCell ref="B64:F64"/>
    <x:mergeCell ref="B67:F67"/>
    <x:mergeCell ref="J25:L25"/>
    <x:mergeCell ref="J22:L22"/>
    <x:mergeCell ref="N22:P22"/>
    <x:mergeCell ref="J23:L23"/>
    <x:mergeCell ref="J24:L24"/>
    <x:mergeCell ref="N23:P23"/>
    <x:mergeCell ref="N24:P24"/>
    <x:mergeCell ref="N25:O25"/>
  </x:mergeCells>
  <x:phoneticPr fontId="47" type="noConversion"/>
  <x:pageMargins left="0.75" right="0.75" top="1" bottom="1" header="0.5" footer="0.5"/>
  <x:pageSetup orientation="portrait" r:id="rId1"/>
  <x:headerFooter alignWithMargins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B6827D6-A2CA-4F99-98E5-4660688027B0}" mc:Ignorable="x14ac xr xr2 xr3">
  <x:sheetPr codeName="Sheet6"/>
  <x:dimension ref="A1"/>
  <x:sheetViews>
    <x:sheetView workbookViewId="0"/>
  </x:sheetViews>
  <x:sheetFormatPr defaultRowHeight="13.2" x14ac:dyDescent="0.25"/>
  <x:sheetData/>
  <x:sheetProtection formatRows="0"/>
  <x:phoneticPr fontId="55" type="noConversion"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125</vt:i4>
      </vt:variant>
    </vt:vector>
  </HeadingPairs>
  <TitlesOfParts>
    <vt:vector size="131" baseType="lpstr">
      <vt:lpstr>Directions</vt:lpstr>
      <vt:lpstr>TABLES</vt:lpstr>
      <vt:lpstr>DATA</vt:lpstr>
      <vt:lpstr>LISTS</vt:lpstr>
      <vt:lpstr>Corrections</vt:lpstr>
      <vt:lpstr>Sheet1</vt:lpstr>
      <vt:lpstr>_Address</vt:lpstr>
      <vt:lpstr>_Altitude</vt:lpstr>
      <vt:lpstr>_AltType</vt:lpstr>
      <vt:lpstr>_Aperture</vt:lpstr>
      <vt:lpstr>_AppType</vt:lpstr>
      <vt:lpstr>_ASHr</vt:lpstr>
      <vt:lpstr>_ASMi</vt:lpstr>
      <vt:lpstr>_ASRem</vt:lpstr>
      <vt:lpstr>_ASSe</vt:lpstr>
      <vt:lpstr>_AstName</vt:lpstr>
      <vt:lpstr>_AstNum</vt:lpstr>
      <vt:lpstr>_AstVisible</vt:lpstr>
      <vt:lpstr>_CAHr</vt:lpstr>
      <vt:lpstr>_CamDelApplied</vt:lpstr>
      <vt:lpstr>_CamFormat</vt:lpstr>
      <vt:lpstr>_CAMi</vt:lpstr>
      <vt:lpstr>_CamIDelay</vt:lpstr>
      <vt:lpstr>_CamOther</vt:lpstr>
      <vt:lpstr>_CamType</vt:lpstr>
      <vt:lpstr>_CamUnit</vt:lpstr>
      <vt:lpstr>_CamX</vt:lpstr>
      <vt:lpstr>_CARem</vt:lpstr>
      <vt:lpstr>_CASe</vt:lpstr>
      <vt:lpstr>_City</vt:lpstr>
      <vt:lpstr>_Cloud</vt:lpstr>
      <vt:lpstr>_DAcc</vt:lpstr>
      <vt:lpstr>_Datum</vt:lpstr>
      <vt:lpstr>_Day</vt:lpstr>
      <vt:lpstr>_DHr</vt:lpstr>
      <vt:lpstr>_DMi</vt:lpstr>
      <vt:lpstr>_DPE</vt:lpstr>
      <vt:lpstr>_DPEApp</vt:lpstr>
      <vt:lpstr>_DRem</vt:lpstr>
      <vt:lpstr>_DSe</vt:lpstr>
      <vt:lpstr>_EOHr</vt:lpstr>
      <vt:lpstr>_EOMi</vt:lpstr>
      <vt:lpstr>_EORem</vt:lpstr>
      <vt:lpstr>_EorW</vt:lpstr>
      <vt:lpstr>_EOSe</vt:lpstr>
      <vt:lpstr>_Exposure</vt:lpstr>
      <vt:lpstr>_Fax</vt:lpstr>
      <vt:lpstr>_fRatio</vt:lpstr>
      <vt:lpstr>_Latitude</vt:lpstr>
      <vt:lpstr>_LatType</vt:lpstr>
      <vt:lpstr>_Location</vt:lpstr>
      <vt:lpstr>_Longitude</vt:lpstr>
      <vt:lpstr>_LonType</vt:lpstr>
      <vt:lpstr>_Mag</vt:lpstr>
      <vt:lpstr>_Mialto</vt:lpstr>
      <vt:lpstr>_Miss</vt:lpstr>
      <vt:lpstr>_Month</vt:lpstr>
      <vt:lpstr>_NorS</vt:lpstr>
      <vt:lpstr>_Observer</vt:lpstr>
      <vt:lpstr>_OTA_Used</vt:lpstr>
      <vt:lpstr>_OtherCond</vt:lpstr>
      <vt:lpstr>_Phone</vt:lpstr>
      <vt:lpstr>_PHour</vt:lpstr>
      <vt:lpstr>_PMin</vt:lpstr>
      <vt:lpstr>_PosNeg</vt:lpstr>
      <vt:lpstr>_PSec</vt:lpstr>
      <vt:lpstr>_RAcc</vt:lpstr>
      <vt:lpstr>_Remark1</vt:lpstr>
      <vt:lpstr>_Remark2</vt:lpstr>
      <vt:lpstr>_Remark3</vt:lpstr>
      <vt:lpstr>_RHr</vt:lpstr>
      <vt:lpstr>_RMi</vt:lpstr>
      <vt:lpstr>_RPE</vt:lpstr>
      <vt:lpstr>_RPEApp</vt:lpstr>
      <vt:lpstr>_RRem</vt:lpstr>
      <vt:lpstr>_RSe</vt:lpstr>
      <vt:lpstr>_SAMi</vt:lpstr>
      <vt:lpstr>_ScopeType</vt:lpstr>
      <vt:lpstr>_SecondStar</vt:lpstr>
      <vt:lpstr>_SMHr</vt:lpstr>
      <vt:lpstr>_SMMi</vt:lpstr>
      <vt:lpstr>_SMRem</vt:lpstr>
      <vt:lpstr>_SMSe</vt:lpstr>
      <vt:lpstr>_SNR</vt:lpstr>
      <vt:lpstr>_SOHr</vt:lpstr>
      <vt:lpstr>_SOMi</vt:lpstr>
      <vt:lpstr>_SORem</vt:lpstr>
      <vt:lpstr>_SOSe</vt:lpstr>
      <vt:lpstr>_Stability</vt:lpstr>
      <vt:lpstr>_StarCat</vt:lpstr>
      <vt:lpstr>_StarNum</vt:lpstr>
      <vt:lpstr>_TimeMethod</vt:lpstr>
      <vt:lpstr>_TimeSource</vt:lpstr>
      <vt:lpstr>_Version</vt:lpstr>
      <vt:lpstr>_VTI_Type</vt:lpstr>
      <vt:lpstr>_Year</vt:lpstr>
      <vt:lpstr>Altitude</vt:lpstr>
      <vt:lpstr>Clouds</vt:lpstr>
      <vt:lpstr>Conditions</vt:lpstr>
      <vt:lpstr>Datum</vt:lpstr>
      <vt:lpstr>DegMinSec</vt:lpstr>
      <vt:lpstr>DegMinSecs</vt:lpstr>
      <vt:lpstr>Degrees</vt:lpstr>
      <vt:lpstr>Detector</vt:lpstr>
      <vt:lpstr>Format2</vt:lpstr>
      <vt:lpstr>InchCm</vt:lpstr>
      <vt:lpstr>Latitude</vt:lpstr>
      <vt:lpstr>Longitude</vt:lpstr>
      <vt:lpstr>Method</vt:lpstr>
      <vt:lpstr>Miss</vt:lpstr>
      <vt:lpstr>Months</vt:lpstr>
      <vt:lpstr>OTA</vt:lpstr>
      <vt:lpstr>PE_2</vt:lpstr>
      <vt:lpstr>DATA!Print_Area</vt:lpstr>
      <vt:lpstr>Results</vt:lpstr>
      <vt:lpstr>RIO</vt:lpstr>
      <vt:lpstr>Seeing</vt:lpstr>
      <vt:lpstr>Stability</vt:lpstr>
      <vt:lpstr>Star</vt:lpstr>
      <vt:lpstr>Stars</vt:lpstr>
      <vt:lpstr>Telescope</vt:lpstr>
      <vt:lpstr>Telescopes</vt:lpstr>
      <vt:lpstr>Timer</vt:lpstr>
      <vt:lpstr>Timer2</vt:lpstr>
      <vt:lpstr>Timers</vt:lpstr>
      <vt:lpstr>TimeSource</vt:lpstr>
      <vt:lpstr>Timing</vt:lpstr>
      <vt:lpstr>Units</vt:lpstr>
      <vt:lpstr>Weight</vt:lpstr>
      <vt:lpstr>Year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Timerson</dc:creator>
  <cp:lastModifiedBy>Michael Camilleri</cp:lastModifiedBy>
  <cp:lastPrinted>2006-11-18T01:40:44Z</cp:lastPrinted>
  <dcterms:created xsi:type="dcterms:W3CDTF">2006-10-10T13:54:28Z</dcterms:created>
  <dcterms:modified xsi:type="dcterms:W3CDTF">2025-12-23T19:50:57Z</dcterms:modified>
</cp:coreProperties>
</file>